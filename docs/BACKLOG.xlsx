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Hướng dẫn" state="visible" r:id="rId4"/>
    <sheet sheetId="2" name="Tuần 1" state="visible" r:id="rId5"/>
    <sheet sheetId="3" name="Backlog" state="visible" r:id="rId6"/>
    <sheet sheetId="4" name="Tổng quan" state="visible" r:id="rId7"/>
    <sheet sheetId="5" name="Họp tuần" state="visible" r:id="rId8"/>
  </sheets>
  <calcPr calcId="171027" fullCalcOnLoad="1"/>
</workbook>
</file>

<file path=xl/sharedStrings.xml><?xml version="1.0" encoding="utf-8"?>
<sst xmlns="http://schemas.openxmlformats.org/spreadsheetml/2006/main" count="734" uniqueCount="360">
  <si>
    <t>BACKLOG DỰ ÁN ĐỐI SOÁT HÓA ĐƠN — NHÓM FANTASTIC4</t>
  </si>
  <si>
    <t/>
  </si>
  <si>
    <t>Mục đích</t>
  </si>
  <si>
    <t>Một chỗ duy nhất để cả nhóm xem ai đang làm gì, xong đến đâu, đang vướng ở đâu. Việc lấy từ docs/TEAM_PLAN.md mục 3.</t>
  </si>
  <si>
    <t>Mỗi người sửa gì</t>
  </si>
  <si>
    <t>Chỉ sửa các ô NỀN VÀNG trên sheet Backlog: Trạng thái, % xong, Hạn, Link PR / bằng chứng, Ghi chú / vướng mắc, Cập nhật lần cuối. Các cột khác do Huy (PM) sửa.</t>
  </si>
  <si>
    <t>Khi nào cập nhật</t>
  </si>
  <si>
    <t>Trước buổi họp nhóm, và ngay khi một việc đổi trạng thái. Cập nhật xong thì ghi ngày vào cột Cập nhật lần cuối.</t>
  </si>
  <si>
    <t>Thêm việc mới</t>
  </si>
  <si>
    <t>Thêm dòng cuối bảng, ID theo người: U/P/F cho Huy, D cho Dương, H cho Hoàn, G cho Giáp — số tiếp theo. Báo Huy để khớp với TEAM_PLAN.</t>
  </si>
  <si>
    <t>TRẠNG THÁI</t>
  </si>
  <si>
    <t>Chưa làm</t>
  </si>
  <si>
    <t>Chưa bắt đầu.</t>
  </si>
  <si>
    <t>Đang làm</t>
  </si>
  <si>
    <t>Đang code hoặc đang viết. Ghi % xong ước lượng.</t>
  </si>
  <si>
    <t>Chờ review</t>
  </si>
  <si>
    <t>Đã có PR hoặc tài liệu, chờ người khác xem. Dán link vào cột Link PR.</t>
  </si>
  <si>
    <t>Bị chặn</t>
  </si>
  <si>
    <t>Không làm tiếp được vì chờ người khác hoặc chờ quyết định. BẮT BUỘC ghi lý do và chờ ai vào cột Ghi chú.</t>
  </si>
  <si>
    <t>Xong</t>
  </si>
  <si>
    <t>Đạt đúng cột Điều kiện xong — không phải "code chạy trên máy em".</t>
  </si>
  <si>
    <t>ƯU TIÊN</t>
  </si>
  <si>
    <t>M</t>
  </si>
  <si>
    <t>Bắt buộc cho MVP. Trễ thì báo ngay trong họp nhóm.</t>
  </si>
  <si>
    <t>S</t>
  </si>
  <si>
    <t>Nên có. Bị cắt đầu tiên khi trễ tiến độ.</t>
  </si>
  <si>
    <t>Sau</t>
  </si>
  <si>
    <t>Sau MVP. Chưa làm trong 5 tuần.</t>
  </si>
  <si>
    <t>Sheet Tuần 1</t>
  </si>
  <si>
    <t>Việc cụ thể của tuần 1, mỗi việc có con số cần đạt. Làm xong ghi Kết quả thực tế và chọn Đạt hoặc Chưa đạt. Việc nào cũng trỏ về ID trong Backlog.</t>
  </si>
  <si>
    <t>Sheet Tổng quan</t>
  </si>
  <si>
    <t>Tự đếm theo người và theo trạng thái — không cần sửa.</t>
  </si>
  <si>
    <t>Sheet Họp tuần</t>
  </si>
  <si>
    <t>Mỗi buổi họp một dòng. Huy dùng sheet này để viết báo cáo tuần (P1). Dòng đầu là ví dụ, xóa khi dùng thật.</t>
  </si>
  <si>
    <t>Nguồn</t>
  </si>
  <si>
    <t>docs/TEAM_PLAN.md (mục 3, 4, 5), docs/PRD.md. Việc U5, F8, G9 là việc mới ngày 27/09/2026 — cần thêm vào TEAM_PLAN.</t>
  </si>
  <si>
    <t>KẾ HOẠCH TUẦN 1</t>
  </si>
  <si>
    <t>Xong tuần 1 khi: 50 hóa đơn XML đi từ tải lên đến EXTRACTED với độ chính xác 100% · 80 bộ dữ liệu có đáp án (50 khớp + 30 lệch) · có số nền thời gian đối soát thủ công · prototype chạy kịch bản mới không còn bút toán · 3 quyết định W1-C1 đến W1-C3 đã chốt.</t>
  </si>
  <si>
    <t>Tiến độ</t>
  </si>
  <si>
    <t>ID</t>
  </si>
  <si>
    <t>Hạng mục</t>
  </si>
  <si>
    <t>Việc</t>
  </si>
  <si>
    <t>Người làm</t>
  </si>
  <si>
    <t>Con số cần đạt</t>
  </si>
  <si>
    <t>Cách kiểm</t>
  </si>
  <si>
    <t>Trạng thái</t>
  </si>
  <si>
    <t>Kết quả thực tế</t>
  </si>
  <si>
    <t>Đạt?</t>
  </si>
  <si>
    <t>Liên quan backlog</t>
  </si>
  <si>
    <t>DỮ LIỆU — có đáp án thì mới đo được</t>
  </si>
  <si>
    <t>W1-D1</t>
  </si>
  <si>
    <t>Dữ liệu</t>
  </si>
  <si>
    <t>Bộ sinh dữ liệu bản đầu: XML hóa đơn + PO + phiếu nhập khớp hoàn toàn</t>
  </si>
  <si>
    <t>Hoàn</t>
  </si>
  <si>
    <t>50 bộ</t>
  </si>
  <si>
    <t>Mỗi bộ có file đáp án; parser XML đọc được cả 50</t>
  </si>
  <si>
    <t>H1</t>
  </si>
  <si>
    <t>W1-D2</t>
  </si>
  <si>
    <t>Bộ có lệch cài sẵn, mỗi bộ ghi mã ngoại lệ đúng</t>
  </si>
  <si>
    <t>30 bộ, phủ ≥ 10 mã (PRC-01, PRC-02, QTY-01, QTY-02, TAX-02, TAX-04, DOC-01, DOC-02, ITM-01, FRD-01)</t>
  </si>
  <si>
    <t>Đếm mã có trong đáp án</t>
  </si>
  <si>
    <t>W1-D3</t>
  </si>
  <si>
    <t>Ảnh scan có đáp án cho việc so sánh đường đọc</t>
  </si>
  <si>
    <t>Dương</t>
  </si>
  <si>
    <t>30 file: 20 render từ XML (có nhiễu) + 10 cào từ mạng</t>
  </si>
  <si>
    <t>Mỗi file có đáp án các trường đầu hóa đơn và dòng hàng</t>
  </si>
  <si>
    <t>D8</t>
  </si>
  <si>
    <t>W1-D4</t>
  </si>
  <si>
    <t>Hóa đơn cào từ mạng, ghi nguồn từng file</t>
  </si>
  <si>
    <t>20 file, trong đó ≥ 3 file nhiều trang</t>
  </si>
  <si>
    <t>Bảng nguồn: link, loại (XML/PDF/ảnh), số trang</t>
  </si>
  <si>
    <t>W1-D5</t>
  </si>
  <si>
    <t>Bộ MST để test</t>
  </si>
  <si>
    <t>20 MST: 10 đúng (công khai), 10 sai một chữ số hoặc đảo hai chữ số</t>
  </si>
  <si>
    <t>Test chạy qua stdnum.vn.mst</t>
  </si>
  <si>
    <t>H2</t>
  </si>
  <si>
    <t>W1-D6</t>
  </si>
  <si>
    <t>Xin mentor 2–3 file hóa đơn mẫu (đã nhắc lại, cho sẵn 3 lựa chọn). Hạn trả lời: thứ 4, 30/09/2026. Quá hạn hoặc bị từ chối → phương án B: dữ liệu sinh (W1-D1, W1-D2) và mẫu cào (W1-D4)</t>
  </si>
  <si>
    <t>Huy</t>
  </si>
  <si>
    <t>2–3 file, hoặc mentor xác nhận dữ liệu sinh giống hóa đơn thật</t>
  </si>
  <si>
    <t>Có trả lời bằng văn bản; file thật chỉ để trên máy, không commit. Không xóa dòng này — ghi kết quả vào báo cáo tuần</t>
  </si>
  <si>
    <t>P3</t>
  </si>
  <si>
    <t>ĐO CHỈ SỐ — tuần 1 chỉ lấy số nền, chưa cần đạt mục tiêu cuối</t>
  </si>
  <si>
    <t>W1-M1</t>
  </si>
  <si>
    <t>Đo chỉ số</t>
  </si>
  <si>
    <t>Độ chính xác trường XML trên bộ W1-D1</t>
  </si>
  <si>
    <t>100% (50/50 hóa đơn, mọi trường)</t>
  </si>
  <si>
    <t>Chạy harness, so với đáp án</t>
  </si>
  <si>
    <t>D2, G7</t>
  </si>
  <si>
    <t>W1-M2</t>
  </si>
  <si>
    <t>Thử nhanh Gemini Flash-Lite mức MEDIUM trên 10 file scan</t>
  </si>
  <si>
    <t>Ghi 4 số: độ chính xác trường tiền, tỉ lệ sai mà không gắn cờ, chi phí/trang (kỳ vọng ≈ $0,0015), thời gian/trang (&lt; 15 giây)</t>
  </si>
  <si>
    <t>Bảng kết quả trong eval/results/</t>
  </si>
  <si>
    <t>D1</t>
  </si>
  <si>
    <t>W1-M3</t>
  </si>
  <si>
    <t>Ghi chi phí mọi lần gọi mô hình</t>
  </si>
  <si>
    <t>Giáp</t>
  </si>
  <si>
    <t>100% lời gọi có org_id, tokens, cost_usd, duration_ms</t>
  </si>
  <si>
    <t>Truy vấn bảng ai_calls sau khi chạy W1-M2</t>
  </si>
  <si>
    <t>G5</t>
  </si>
  <si>
    <t>W1-M4</t>
  </si>
  <si>
    <t>Số nền: đối soát thủ công mất bao lâu</t>
  </si>
  <si>
    <t>10 hóa đơn, bấm giờ → số phút mỗi hóa đơn</t>
  </si>
  <si>
    <t>Mốc để chứng minh mục tiêu giảm 50% ở tuần 4</t>
  </si>
  <si>
    <t>U3</t>
  </si>
  <si>
    <t>W1-M5</t>
  </si>
  <si>
    <t>Recall khớp dòng chỉ bằng luật L0–L2, chưa dùng AI</t>
  </si>
  <si>
    <t>Ghi con số trên 30 bộ W1-D2 — chưa đặt mục tiêu</t>
  </si>
  <si>
    <t>Harness, so với đáp án</t>
  </si>
  <si>
    <t>H3</t>
  </si>
  <si>
    <t>PROTOTYPE — cập nhật theo quyết định mới</t>
  </si>
  <si>
    <t>W1-P1</t>
  </si>
  <si>
    <t>Prototype</t>
  </si>
  <si>
    <t>Bỏ tab Bút toán, thay bằng Tóm tắt duyệt; trạng thái cuối là Đã xuất cho kế toán</t>
  </si>
  <si>
    <t>0 chỗ còn chữ "bút toán" hoặc tài khoản Nợ, Có</t>
  </si>
  <si>
    <t>Tìm chữ trong index.html</t>
  </si>
  <si>
    <t>F8</t>
  </si>
  <si>
    <t>W1-P2</t>
  </si>
  <si>
    <t>Thêm hóa đơn mẫu cho các ca mới: dòng KCT có tiền thuế, 8% sau 31/12/2026, dòng chiết khấu, hóa đơn bị trả lại</t>
  </si>
  <si>
    <t>Từ 6 lên ≥ 9 hóa đơn mẫu, phủ ≥ 10 mã ngoại lệ (hiện 5)</t>
  </si>
  <si>
    <t>Đếm trong seed()</t>
  </si>
  <si>
    <t>W1-P3</t>
  </si>
  <si>
    <t>Hiện mục "Thông tin khác" (extras) ở màn chi tiết</t>
  </si>
  <si>
    <t>≥ 1 hóa đơn mẫu có extras</t>
  </si>
  <si>
    <t>Mở màn chi tiết thấy mục này</t>
  </si>
  <si>
    <t>PRD F2.11</t>
  </si>
  <si>
    <t>W1-P4</t>
  </si>
  <si>
    <t>Tách lời gọi dữ liệu thành ES module, trả đúng hình dạng API ở PRD §8</t>
  </si>
  <si>
    <t>Giao diện không còn đọc seed() trực tiếp</t>
  </si>
  <si>
    <t>Đổi sang API thật ở tuần 3 chỉ phải sửa module này</t>
  </si>
  <si>
    <t>F2</t>
  </si>
  <si>
    <t>W1-P5</t>
  </si>
  <si>
    <t>Chạy lại kịch bản demo 5 phút; commit phần đang sửa dở</t>
  </si>
  <si>
    <t>0 lỗi console trên Chrome và điện thoại</t>
  </si>
  <si>
    <t>Tự chạy theo README prototype</t>
  </si>
  <si>
    <t>KHUNG MVP — backend chạy được đường XML</t>
  </si>
  <si>
    <t>W1-B1</t>
  </si>
  <si>
    <t>MVP</t>
  </si>
  <si>
    <t>Chốt schema Pydantic ExtractionResult và ReconciliationResult (có extras, loại dòng)</t>
  </si>
  <si>
    <t>3/3 người còn lại đồng ý</t>
  </si>
  <si>
    <t>Schema có trong code và TEAM_PLAN mục 2</t>
  </si>
  <si>
    <t>G1</t>
  </si>
  <si>
    <t>W1-B2</t>
  </si>
  <si>
    <t>Gộp feat/base_module và feat/iam về nhánh chính</t>
  </si>
  <si>
    <t>CI xanh</t>
  </si>
  <si>
    <t>Link CI</t>
  </si>
  <si>
    <t>G2</t>
  </si>
  <si>
    <t>W1-B3</t>
  </si>
  <si>
    <t>Schema DB: mọi bảng nghiệp vụ có org_id; migration chạy trên PostgreSQL 18</t>
  </si>
  <si>
    <t>Test cách ly tenant trả 404: đạt</t>
  </si>
  <si>
    <t>Test tích hợp</t>
  </si>
  <si>
    <t>G3</t>
  </si>
  <si>
    <t>W1-B4</t>
  </si>
  <si>
    <t>Đăng nhập 2 vai trò kế toán viên, kế toán trưởng</t>
  </si>
  <si>
    <t>Gọi endpoint cấp 2 bằng token kế toán viên trả 403</t>
  </si>
  <si>
    <t>Test tự động</t>
  </si>
  <si>
    <t>W1-B5</t>
  </si>
  <si>
    <t>Parser XML hóa đơn điện tử, cả khối TTKhac vào extras</t>
  </si>
  <si>
    <t>50/50 XML từ W1-D1 đi từ tải lên đến EXTRACTED</t>
  </si>
  <si>
    <t>Harness W1-M1</t>
  </si>
  <si>
    <t>D2</t>
  </si>
  <si>
    <t>W1-B6</t>
  </si>
  <si>
    <t>Gỡ bút toán khỏi code (module ledger, trạng thái POSTED → EXPORTED)</t>
  </si>
  <si>
    <t>0 bảng, 0 endpoint bút toán</t>
  </si>
  <si>
    <t>Tìm trong code</t>
  </si>
  <si>
    <t>G9</t>
  </si>
  <si>
    <t>W1-B7</t>
  </si>
  <si>
    <t>Deploy thử API</t>
  </si>
  <si>
    <t>Live URL trả được endpoint health</t>
  </si>
  <si>
    <t>Mở link</t>
  </si>
  <si>
    <t>G8</t>
  </si>
  <si>
    <t>CHỐT QUYẾT ĐỊNH — không chốt thì tuần 2 bị chặn</t>
  </si>
  <si>
    <t>W1-C1</t>
  </si>
  <si>
    <t>Quyết định</t>
  </si>
  <si>
    <t>Được gửi hóa đơn thật lên dịch vụ nào</t>
  </si>
  <si>
    <t>Có quyết định bằng văn bản</t>
  </si>
  <si>
    <t>Ghi vào PRD §14.2</t>
  </si>
  <si>
    <t>U2, D1</t>
  </si>
  <si>
    <t>W1-C2</t>
  </si>
  <si>
    <t>Giới hạn trang mỗi file: 10 hay 20</t>
  </si>
  <si>
    <t>Một con số trong PRD F16</t>
  </si>
  <si>
    <t>PRD và TEAM_PLAN khớp nhau</t>
  </si>
  <si>
    <t>U5</t>
  </si>
  <si>
    <t>W1-C3</t>
  </si>
  <si>
    <t>Nhóm thuế của các mặt hàng Công ty X hay mua</t>
  </si>
  <si>
    <t>Danh sách nhóm hàng → thuế suất, rà theo phụ lục nghị định</t>
  </si>
  <si>
    <t>Điền vào tax_groups.yaml</t>
  </si>
  <si>
    <t>U2, H5</t>
  </si>
  <si>
    <t>W1-C4</t>
  </si>
  <si>
    <t>Báo cáo tuần 1 và nhật ký công việc</t>
  </si>
  <si>
    <t>Nộp đúng hạn ở P-143</t>
  </si>
  <si>
    <t>JOURNAL.md, WORKLOG.md</t>
  </si>
  <si>
    <t>P1</t>
  </si>
  <si>
    <t>Nhóm việc</t>
  </si>
  <si>
    <t>Tuần</t>
  </si>
  <si>
    <t>Ưu tiên</t>
  </si>
  <si>
    <t>% xong</t>
  </si>
  <si>
    <t>Hạn</t>
  </si>
  <si>
    <t>Điều kiện xong</t>
  </si>
  <si>
    <t>Cần từ ai</t>
  </si>
  <si>
    <t>Link PR / bằng chứng</t>
  </si>
  <si>
    <t>Ghi chú / vướng mắc</t>
  </si>
  <si>
    <t>Cập nhật lần cuối</t>
  </si>
  <si>
    <t>U1</t>
  </si>
  <si>
    <t>BA</t>
  </si>
  <si>
    <t>Cập nhật PRD theo 13 việc ở Phụ lục A của RESEARCH.md</t>
  </si>
  <si>
    <t>2</t>
  </si>
  <si>
    <t>PRD có mục đầu vào và hóa đơn dài, mã ngoại lệ cho MST người mua, thuế 8% có ngày kết thúc</t>
  </si>
  <si>
    <t>U2</t>
  </si>
  <si>
    <t>Chốt câu hỏi mở với mentor hoặc Công ty X: Q1–Q6 trong USER_STORIES.md, đầu vào (một file nhiều hóa đơn? bảng kê?), dung sai, ngưỡng duyệt cấp 2, nhóm thuế của mặt hàng Công ty X</t>
  </si>
  <si>
    <t>Mỗi câu có quyết định và ngày chốt, ghi vào PRD</t>
  </si>
  <si>
    <t>Mentor</t>
  </si>
  <si>
    <t>Kịch bản kiểm thử chấp nhận từ 18 tình huống trong USER_STORIES.md; tổ chức buổi dùng thử với kế toán</t>
  </si>
  <si>
    <t>4</t>
  </si>
  <si>
    <t>Biên bản buổi dùng thử, có số đo thời gian đối chiếu trước và sau — mục tiêu giảm 50%</t>
  </si>
  <si>
    <t>U4</t>
  </si>
  <si>
    <t>Quy trình kiểm tra ngẫu nhiên hóa đơn đã xếp Khớp</t>
  </si>
  <si>
    <t>Tỉ lệ lấy mẫu, ai kiểm, ghi kết quả ở đâu</t>
  </si>
  <si>
    <t>Chốt giới hạn trang mỗi file: limits.yaml cho 10 trang, việc D5 đặt mục tiêu 20 trang</t>
  </si>
  <si>
    <t>Một con số thống nhất trong PRD F16 và TEAM_PLAN D5</t>
  </si>
  <si>
    <t>PM</t>
  </si>
  <si>
    <t>Kế hoạch tuần, báo cáo tuần cho mentor (JOURNAL.md), nhật ký công việc (WORKLOG.md)</t>
  </si>
  <si>
    <t>Hằng tuần</t>
  </si>
  <si>
    <t>Nộp đúng hạn, ở P-143</t>
  </si>
  <si>
    <t>Cả nhóm</t>
  </si>
  <si>
    <t>P2</t>
  </si>
  <si>
    <t>Theo dõi checklist 10 deliverables của Demo Day</t>
  </si>
  <si>
    <t>Từ tuần 2</t>
  </si>
  <si>
    <t>Mỗi deliverable có người chịu trách nhiệm và hạn</t>
  </si>
  <si>
    <t>Việc với mentor và ban tổ chức: xin dữ liệu mẫu, xác nhận Langfuse đáp ứng AI Logs, xin credit Google Cloud nếu dùng Document AI</t>
  </si>
  <si>
    <t>Có câu trả lời bằng văn bản</t>
  </si>
  <si>
    <t>P4</t>
  </si>
  <si>
    <t>Theo dõi bảng rủi ro trong BRIEF_v3.md §13; quyết thứ tự cắt khi trễ</t>
  </si>
  <si>
    <t>Rủi ro cập nhật trong báo cáo tuần</t>
  </si>
  <si>
    <t>P5</t>
  </si>
  <si>
    <t>Pitch deck 10 slide theo cấu trúc ban tổ chức và video demo tối đa 5 phút</t>
  </si>
  <si>
    <t>5</t>
  </si>
  <si>
    <t>Nằm trong presentation/ của P-143</t>
  </si>
  <si>
    <t>F1</t>
  </si>
  <si>
    <t>Frontend</t>
  </si>
  <si>
    <t>Đăng nhập thật bằng JWT, tự làm mới token khi hết hạn</t>
  </si>
  <si>
    <t>3</t>
  </si>
  <si>
    <t>Hai vai trò đăng nhập được; token hết hạn thì tự làm mới</t>
  </si>
  <si>
    <t>Thay dữ liệu mẫu bằng lời gọi API theo PRD §8: danh sách, so sánh ba chiều, ngoại lệ, duyệt, trả lại, từ chối, hàng đợi duyệt, nhà cung cấp</t>
  </si>
  <si>
    <t>Đi hết kịch bản demo trên dữ liệu từ API; không còn dữ liệu mẫu</t>
  </si>
  <si>
    <t>F3</t>
  </si>
  <si>
    <t>Tải lên nhiều file và theo dõi tiến độ lô</t>
  </si>
  <si>
    <t>Thấy từng file đổi trạng thái; file trùng và file vượt giới hạn hiện đúng thông báo</t>
  </si>
  <si>
    <t>F4</t>
  </si>
  <si>
    <t>Thông báo theo mã lỗi 401, 403, 404, 409, 413, 429; trạng thái đang tải và trạng thái rỗng</t>
  </si>
  <si>
    <t>Mỗi mã lỗi có câu thông báo nói rõ chuyện gì xảy ra và làm gì tiếp</t>
  </si>
  <si>
    <t>F5</t>
  </si>
  <si>
    <t>Hóa đơn dài: mặc định chỉ hiện dòng lệch; chỉ tô vùng bằng chứng khi bbox_verified</t>
  </si>
  <si>
    <t>Hóa đơn 200 dòng vẫn mở nhanh; vùng chưa xác minh không được tô</t>
  </si>
  <si>
    <t>F6</t>
  </si>
  <si>
    <t>Deploy giao diện, cấu hình CORS với API</t>
  </si>
  <si>
    <t>Có live URL cho giao diện</t>
  </si>
  <si>
    <t>F7</t>
  </si>
  <si>
    <t>Chuyển giao diện sang React, dùng lại module gọi API và bộ màu</t>
  </si>
  <si>
    <t>Chạy đủ kịch bản demo như bản HTML</t>
  </si>
  <si>
    <t>Đổi tab Bút toán trong prototype thành Tóm tắt duyệt; trạng thái cuối là Đã xuất cho kế toán (PRD F10, WIREFRAME S7)</t>
  </si>
  <si>
    <t>Prototype không còn bút toán hay tài khoản Nợ, Có</t>
  </si>
  <si>
    <t>Đọc hóa đơn</t>
  </si>
  <si>
    <t>So sánh hai đường đọc: Gemini 3.1 Flash-Lite mức MEDIUM và Document AI, trên cùng 30 hóa đơn scan</t>
  </si>
  <si>
    <t>Bảng so sánh độ chính xác, tỉ lệ sai mà không gắn cờ, chi phí mỗi trang, thời gian — và một quyết định ghi vào ADR</t>
  </si>
  <si>
    <t>Huy (được gửi dữ liệu lên đâu)</t>
  </si>
  <si>
    <t>Bộ đọc PDF có chữ và bộ đọc ảnh, cài sau interface InvoiceExtractor</t>
  </si>
  <si>
    <t>PDF và ảnh không còn rơi vào FAILED với mã UNSUPPORTED_FORMAT; có unit test</t>
  </si>
  <si>
    <t>Giáp (gateway)</t>
  </si>
  <si>
    <t>D3</t>
  </si>
  <si>
    <t>Chuẩn hóa kiểu: dấu chấm, dấu phẩy bằng số học; ngày viết bằng chữ; sửa nhầm lẫn OCR trong MST</t>
  </si>
  <si>
    <t>Test phủ ca 1.234 và 1,500, ngày dạng "Ngày 18 tháng 09 năm 2026"</t>
  </si>
  <si>
    <t>D4</t>
  </si>
  <si>
    <t>Tách hóa đơn trong file nhiều trang — trang đầu, giữa, cuối, bảng kê</t>
  </si>
  <si>
    <t>Đo độ chính xác tách trên bộ file ghép; đoạn không chắc thì chuyển người</t>
  </si>
  <si>
    <t>D5</t>
  </si>
  <si>
    <t>Bảng qua nhiều trang: mang tiêu đề theo, chia lô theo dòng, kiểm STT liền mạch, nhận cột bằng SL × đơn giá = thành tiền</t>
  </si>
  <si>
    <t>Hóa đơn nhiều trang, 200 dòng đọc đủ dòng, STT không đứt</t>
  </si>
  <si>
    <t>Huy (U5)</t>
  </si>
  <si>
    <t>D6</t>
  </si>
  <si>
    <t>Độ tin cậy từng trường và hiệu chỉnh ngưỡng trên bộ đánh giá</t>
  </si>
  <si>
    <t>3–4</t>
  </si>
  <si>
    <t>Ngưỡng do dữ liệu chọn; sai mà không gắn cờ ≈ 0</t>
  </si>
  <si>
    <t>D7</t>
  </si>
  <si>
    <t>Xác minh bounding box: cắt vùng, đọc lại bằng Tesseract tiếng Việt, so với giá trị</t>
  </si>
  <si>
    <t>Báo được tỉ lệ bbox xác minh được</t>
  </si>
  <si>
    <t>Dữ liệu hình ảnh cho đánh giá: render XML thành PDF và ảnh scan có nhiễu, cộng dữ liệu cào, cộng file ghép nhiều hóa đơn</t>
  </si>
  <si>
    <t>2–3</t>
  </si>
  <si>
    <t>Ít nhất 100 ảnh có đáp án đúng</t>
  </si>
  <si>
    <t>Hoàn (XML từ H1)</t>
  </si>
  <si>
    <t>D9</t>
  </si>
  <si>
    <t>Chạy thử mô hình mở — DeepSeek-OCR 2, Qwen3-VL, PaddleOCR-VL — trên cùng bộ đánh giá</t>
  </si>
  <si>
    <t>Bảng so với đường API</t>
  </si>
  <si>
    <t>Máy có GPU</t>
  </si>
  <si>
    <t>Đối chiếu &amp; an toàn AI</t>
  </si>
  <si>
    <t>Bộ sinh dữ liệu: XML hóa đơn, PO và phiếu nhập tương ứng, cài sẵn các kiểu lệch có nhãn</t>
  </si>
  <si>
    <t>300 bộ có đáp án mã ngoại lệ đúng, phân bổ theo PRD §12.1</t>
  </si>
  <si>
    <t>Kiểm MST: chữ số kiểm tra dạng 10 và 13 số (stdnum.vn.mst); dạng 12 số; MST người mua bằng MST công ty; MST người bán khớp danh mục</t>
  </si>
  <si>
    <t>Test với MST thật, ca sai một chữ số và đảo hai chữ số</t>
  </si>
  <si>
    <t>Khớp dòng L0 đến L3: mã hàng, bộ nhớ NCC, chuỗi chuẩn hóa, so chuỗi gần đúng</t>
  </si>
  <si>
    <t>Đo recall khớp dòng trên bộ đánh giá</t>
  </si>
  <si>
    <t>Dương (ExtractionResult)</t>
  </si>
  <si>
    <t>H4</t>
  </si>
  <si>
    <t>Khớp dòng L4: LlmArbiter, chỉ được chọn trong danh sách ứng viên</t>
  </si>
  <si>
    <t>Đếm được số lần gọi mô hình mỗi hóa đơn</t>
  </si>
  <si>
    <t>H5</t>
  </si>
  <si>
    <t>Kiểm thuế: vat_rates.yaml (8% hết hạn 31/12/2026), tax_groups.yaml, dòng KCT không có thuế, hóa đơn bán hàng; TAX-01 đến TAX-05</t>
  </si>
  <si>
    <t>Test ví dụ PRD §6 và các ca sát mốc 30/6–01/7/2025, 31/12/2026–01/01/2027</t>
  </si>
  <si>
    <t>Huy (nhóm thuế ở U2)</t>
  </si>
  <si>
    <t>H6</t>
  </si>
  <si>
    <t>Phân loại, đề xuất xử lý, viết giải thích chỉ từ dữ kiện có cấu trúc</t>
  </si>
  <si>
    <t>Mọi ngoại lệ có công thức và nguồn; chữ chứa lệnh trên hóa đơn không lọt vào câu giải thích</t>
  </si>
  <si>
    <t>H7</t>
  </si>
  <si>
    <t>Phát hiện bất thường FRD-01 đến FRD-07, so lớp chữ PDF với ảnh render ở trường tiền</t>
  </si>
  <si>
    <t>Recall các ca gian lận đã cài ≥ 95%</t>
  </si>
  <si>
    <t>H8</t>
  </si>
  <si>
    <t>Bộ nhớ NCC: học tên gọi khác từ lần sửa, chỉ hiệu lực khi KTT duyệt</t>
  </si>
  <si>
    <t>Hóa đơn thứ tư cùng NCC khớp ở L1 và không gọi mô hình</t>
  </si>
  <si>
    <t>H9</t>
  </si>
  <si>
    <t>Thử mô hình gác Llama Prompt Guard 2 trên câu tấn công tiếng Việt</t>
  </si>
  <si>
    <t>Báo cáo tỉ lệ bỏ sót, kết luận dùng hay không</t>
  </si>
  <si>
    <t>Backend &amp; nền tảng</t>
  </si>
  <si>
    <t>Chốt hợp đồng bàn giao ExtractionResult, ReconciliationResult thành schema Pydantic (có extras và loại dòng)</t>
  </si>
  <si>
    <t>Có trong code và tài liệu, ba người còn lại đồng ý</t>
  </si>
  <si>
    <t>Dương, Hoàn</t>
  </si>
  <si>
    <t>Nhánh chính chạy được, CI xanh</t>
  </si>
  <si>
    <t>Nối module vào API theo PRD §8: tải lên, nhập PO và phiếu nhập, đối chiếu, duyệt hai cấp, xuất danh sách hóa đơn đã duyệt, nhật ký, báo cáo</t>
  </si>
  <si>
    <t>Đi hết luồng bằng API; test tách biệt trách nhiệm (409) và cách ly tenant (404)</t>
  </si>
  <si>
    <t>G4</t>
  </si>
  <si>
    <t>Thay InProcessPipeline bằng LangGraph có Postgres checkpointer</t>
  </si>
  <si>
    <t>Khởi động lại khi hóa đơn đang chờ duyệt, lên lại vẫn duyệt tiếp được</t>
  </si>
  <si>
    <t>gateway: ngân sách theo từng tenant, trần mỗi hóa đơn, ngắt mạch, cache, thử lại, mô hình dự phòng</t>
  </si>
  <si>
    <t>Vượt ngân sách thì dừng và chuyển người; thử lại không tính tiền hai lần</t>
  </si>
  <si>
    <t>G6</t>
  </si>
  <si>
    <t>Quan sát: OpenTelemetry về Langfuse; một trace mỗi hóa đơn; che số tài khoản</t>
  </si>
  <si>
    <t>Ảnh chụp trace dùng được cho deliverable AI Logs</t>
  </si>
  <si>
    <t>G7</t>
  </si>
  <si>
    <t>Khung harness đánh giá: một lệnh chạy bộ ca test, tính chỉ số, so với lần trước</t>
  </si>
  <si>
    <t>Một lệnh sinh eval/results/report.md; bản 20 ca chạy trong CI</t>
  </si>
  <si>
    <t>Deploy API: lần đầu tuần 2, bản cuối tuần 5</t>
  </si>
  <si>
    <t>2, 5</t>
  </si>
  <si>
    <t>Có live URL; nơi deploy có PostgreSQL 18</t>
  </si>
  <si>
    <t>Bỏ bút toán khỏi code: gỡ module ledger hoặc đổi thành phần xuất file; trạng thái POSTED đổi thành EXPORTED</t>
  </si>
  <si>
    <t>Không còn bảng và endpoint bút toán; PRD F10 chạy được</t>
  </si>
  <si>
    <t>TIẾN ĐỘ THEO NGƯỜI</t>
  </si>
  <si>
    <t>Chỉ tính việc ưu tiên M và S; việc "Sau" không tính. Tự cập nhật từ sheet Backlog.</t>
  </si>
  <si>
    <t>Người</t>
  </si>
  <si>
    <t>Tổng</t>
  </si>
  <si>
    <t>% việc xong</t>
  </si>
  <si>
    <t>Việc quá hạn</t>
  </si>
  <si>
    <t>Cột "Bị chặn" và "Việc quá hạn" lớn hơn 0 sẽ tô đỏ — đem ra đầu buổi họp nhóm.</t>
  </si>
  <si>
    <t>Ngày họp</t>
  </si>
  <si>
    <t>Đã xong tuần này</t>
  </si>
  <si>
    <t>Kế hoạch tuần tới</t>
  </si>
  <si>
    <t>Vướng mắc / cần ai giúp</t>
  </si>
  <si>
    <t>Quyết định đã chốt</t>
  </si>
  <si>
    <t>VÍ DỤ — xóa dòng này khi dùng thật. U1 cập nhật PRD: bỏ bút toán, thêm nhóm thuế và hạn thuế 8%</t>
  </si>
  <si>
    <t>G1 chốt schema ExtractionResult; D1 so sánh Gemini và Document AI</t>
  </si>
  <si>
    <t>D1 chờ Huy chốt được gửi hóa đơn thật lên dịch vụ nào</t>
  </si>
  <si>
    <t>Hệ thống không sinh bút toán (TEAM_PLAN mục 5, quyết định 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</si>
</sst>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dd/mm/yyyy"/>
  </numFmts>
  <fonts count="13" x14ac:knownFonts="1">
    <font>
      <color theme="1"/>
      <family val="2"/>
      <scheme val="minor"/>
      <sz val="11"/>
      <name val="Calibri"/>
    </font>
    <font>
      <b/>
      <color rgb="FF2A4A7F"/>
      <sz val="14"/>
      <name val="Arial"/>
    </font>
    <font>
      <color rgb="FF14202E"/>
      <sz val="11"/>
      <name val="Arial"/>
    </font>
    <font>
      <b/>
      <color rgb="FF14202E"/>
      <sz val="11"/>
      <name val="Arial"/>
    </font>
    <font>
      <b/>
      <color rgb="FF2A4A7F"/>
      <sz val="11"/>
      <name val="Arial"/>
    </font>
    <font>
      <color rgb="FF14202E"/>
      <sz val="10"/>
      <name val="Arial"/>
    </font>
    <font>
      <b/>
      <color rgb="FF16794C"/>
      <sz val="11"/>
      <name val="Arial"/>
    </font>
    <font>
      <b/>
      <color rgb="FFB42318"/>
      <sz val="11"/>
      <name val="Arial"/>
    </font>
    <font>
      <b/>
      <color rgb="FFFFFFFF"/>
      <sz val="11"/>
      <name val="Arial"/>
    </font>
    <font>
      <b/>
      <color rgb="FF2A4A7F"/>
      <sz val="10"/>
      <name val="Arial"/>
    </font>
    <font>
      <b/>
      <color rgb="FF14202E"/>
      <sz val="10"/>
      <name val="Arial"/>
    </font>
    <font>
      <i/>
      <color rgb="FF4A5468"/>
      <sz val="10"/>
      <name val="Arial"/>
    </font>
    <font>
      <i/>
      <color rgb="FF7A8699"/>
      <sz val="10"/>
      <name val="Arial"/>
    </font>
  </fonts>
  <fills count="6">
    <fill>
      <patternFill patternType="none"/>
    </fill>
    <fill>
      <patternFill patternType="gray125"/>
    </fill>
    <fill>
      <patternFill patternType="solid">
        <fgColor rgb="FFFFF6CC"/>
      </patternFill>
    </fill>
    <fill>
      <patternFill patternType="solid">
        <fgColor rgb="FF14202E"/>
      </patternFill>
    </fill>
    <fill>
      <patternFill patternType="solid">
        <fgColor rgb="FFE8EEF7"/>
      </patternFill>
    </fill>
    <fill>
      <patternFill patternType="solid">
        <fgColor rgb="FFEFF2F7"/>
      </patternFill>
    </fill>
  </fills>
  <borders count="2">
    <border>
      <left/>
      <right/>
      <top/>
      <bottom/>
      <diagonal/>
    </border>
    <border>
      <left style="thin">
        <color rgb="FFDDE2EA"/>
      </left>
      <right style="thin">
        <color rgb="FFDDE2EA"/>
      </right>
      <top style="thin">
        <color rgb="FFDDE2EA"/>
      </top>
      <bottom style="thin">
        <color rgb="FFDDE2EA"/>
      </bottom>
      <diagonal/>
    </border>
  </borders>
  <cellStyleXfs count="1">
    <xf numFmtId="0" fontId="0" fillId="0" borderId="0"/>
  </cellStyleXfs>
  <cellXfs count="37">
    <xf numFmtId="0" fontId="0" fillId="0" borderId="0" xfId="0"/>
    <xf numFmtId="0" fontId="1" fillId="0" borderId="0" xfId="0" applyFont="1"/>
    <xf numFmtId="0" fontId="1" fillId="0" borderId="0" xfId="0" applyFont="1" applyAlignment="1">
      <alignment vertical="top"/>
    </xf>
    <xf numFmtId="0" fontId="1" fillId="0" borderId="0" xfId="0" applyFont="1" applyAlignment="1">
      <alignment vertical="top" wrapText="1"/>
    </xf>
    <xf numFmtId="0" fontId="2" fillId="0" borderId="0" xfId="0" applyFont="1"/>
    <xf numFmtId="0" fontId="2" fillId="0" borderId="0" xfId="0" applyFont="1" applyAlignment="1">
      <alignment vertical="top"/>
    </xf>
    <xf numFmtId="0" fontId="2" fillId="0" borderId="0" xfId="0" applyFont="1" applyAlignment="1">
      <alignment vertical="top" wrapText="1"/>
    </xf>
    <xf numFmtId="0" fontId="3" fillId="0" borderId="0" xfId="0" applyFont="1" applyAlignment="1">
      <alignment vertical="top"/>
    </xf>
    <xf numFmtId="0" fontId="2" fillId="2" borderId="0" xfId="0" applyFont="1" applyFill="1" applyAlignment="1">
      <alignment vertical="top" wrapText="1"/>
    </xf>
    <xf numFmtId="0" fontId="4" fillId="0" borderId="0" xfId="0" applyFont="1"/>
    <xf numFmtId="0" fontId="4" fillId="0" borderId="0" xfId="0" applyFont="1" applyAlignment="1">
      <alignment vertical="top"/>
    </xf>
    <xf numFmtId="0" fontId="4" fillId="0" borderId="0" xfId="0" applyFont="1" applyAlignment="1">
      <alignment vertical="top" wrapText="1"/>
    </xf>
    <xf numFmtId="0" fontId="5" fillId="0" borderId="0" xfId="0" applyFont="1" applyAlignment="1">
      <alignment vertical="top" wrapText="1"/>
    </xf>
    <xf numFmtId="0" fontId="3" fillId="0" borderId="0" xfId="0" applyFont="1"/>
    <xf numFmtId="0" fontId="6" fillId="0" borderId="0" xfId="0" applyFont="1"/>
    <xf numFmtId="0" fontId="7" fillId="0" borderId="0" xfId="0" applyFont="1"/>
    <xf numFmtId="0" fontId="8" fillId="3" borderId="1" xfId="0" applyFont="1" applyFill="1" applyBorder="1" applyAlignment="1">
      <alignment horizontal="center" vertical="center" wrapText="1"/>
    </xf>
    <xf numFmtId="0" fontId="4" fillId="4" borderId="0" xfId="0" applyFont="1" applyFill="1"/>
    <xf numFmtId="0" fontId="9" fillId="0" borderId="1" xfId="0" applyFont="1" applyBorder="1" applyAlignment="1">
      <alignment horizontal="center" vertical="top"/>
    </xf>
    <xf numFmtId="0" fontId="5" fillId="0" borderId="1" xfId="0" applyFont="1" applyBorder="1" applyAlignment="1">
      <alignment horizontal="left" vertical="top"/>
    </xf>
    <xf numFmtId="0" fontId="5" fillId="0" borderId="1" xfId="0" applyFont="1" applyBorder="1" applyAlignment="1">
      <alignment horizontal="left" vertical="top" wrapText="1"/>
    </xf>
    <xf numFmtId="0" fontId="5" fillId="0" borderId="1" xfId="0" applyFont="1" applyBorder="1" applyAlignment="1">
      <alignment horizontal="center" vertical="top"/>
    </xf>
    <xf numFmtId="0" fontId="10" fillId="0" borderId="1" xfId="0" applyFont="1" applyBorder="1" applyAlignment="1">
      <alignment horizontal="left" vertical="top" wrapText="1"/>
    </xf>
    <xf numFmtId="0" fontId="5" fillId="2" borderId="1" xfId="0" applyFont="1" applyFill="1" applyBorder="1" applyAlignment="1">
      <alignment horizontal="center" vertical="top"/>
    </xf>
    <xf numFmtId="0" fontId="5" fillId="2" borderId="1" xfId="0" applyFont="1" applyFill="1" applyBorder="1" applyAlignment="1">
      <alignment horizontal="left" vertical="top" wrapText="1"/>
    </xf>
    <xf numFmtId="9" fontId="5" fillId="2" borderId="1" xfId="0" applyNumberFormat="1" applyFont="1" applyFill="1" applyBorder="1" applyAlignment="1">
      <alignment horizontal="center" vertical="top"/>
    </xf>
    <xf numFmtId="164" fontId="5" fillId="2" borderId="1" xfId="0" applyNumberFormat="1" applyFont="1" applyFill="1" applyBorder="1" applyAlignment="1">
      <alignment horizontal="center" vertical="top"/>
    </xf>
    <xf numFmtId="0" fontId="11" fillId="0" borderId="0" xfId="0" applyFont="1"/>
    <xf numFmtId="0" fontId="2" fillId="0" borderId="1" xfId="0" applyFont="1" applyBorder="1" applyAlignment="1">
      <alignment horizontal="left"/>
    </xf>
    <xf numFmtId="0" fontId="2" fillId="0" borderId="1" xfId="0" applyFont="1" applyBorder="1" applyAlignment="1">
      <alignment horizontal="center"/>
    </xf>
    <xf numFmtId="9" fontId="2" fillId="0" borderId="1" xfId="0" applyNumberFormat="1" applyFont="1" applyBorder="1" applyAlignment="1">
      <alignment horizontal="center"/>
    </xf>
    <xf numFmtId="0" fontId="3" fillId="5" borderId="1" xfId="0" applyFont="1" applyFill="1" applyBorder="1" applyAlignment="1">
      <alignment horizontal="left"/>
    </xf>
    <xf numFmtId="0" fontId="3" fillId="5" borderId="1" xfId="0" applyFont="1" applyFill="1" applyBorder="1" applyAlignment="1">
      <alignment horizontal="center"/>
    </xf>
    <xf numFmtId="9" fontId="3" fillId="5" borderId="1" xfId="0" applyNumberFormat="1" applyFont="1" applyFill="1" applyBorder="1" applyAlignment="1">
      <alignment horizontal="center"/>
    </xf>
    <xf numFmtId="0" fontId="12" fillId="0" borderId="1" xfId="0" applyFont="1" applyBorder="1" applyAlignment="1">
      <alignment horizontal="center" vertical="top" wrapText="1"/>
    </xf>
    <xf numFmtId="164" fontId="12" fillId="0" borderId="1" xfId="0" applyNumberFormat="1" applyFont="1" applyBorder="1" applyAlignment="1">
      <alignment horizontal="center" vertical="top" wrapText="1"/>
    </xf>
    <xf numFmtId="0" fontId="12" fillId="0" borderId="1" xfId="0" applyFont="1" applyBorder="1" applyAlignment="1">
      <alignment horizontal="left" vertical="top" wrapText="1"/>
    </xf>
  </cellXfs>
  <cellStyles count="1">
    <cellStyle name="Normal" xfId="0" builtinId="0"/>
  </cellStyles>
  <dxfs count="13">
    <dxf>
      <font>
        <b/>
        <color rgb="FF2A4A7F"/>
      </font>
      <fill>
        <patternFill patternType="solid">
          <bgColor rgb="FFE8EEF7"/>
        </patternFill>
      </fill>
    </dxf>
    <dxf>
      <font>
        <b/>
        <color rgb="FFA16207"/>
      </font>
      <fill>
        <patternFill patternType="solid">
          <bgColor rgb="FFFEF6E0"/>
        </patternFill>
      </fill>
    </dxf>
    <dxf>
      <font>
        <b/>
        <color rgb="FFB42318"/>
      </font>
      <fill>
        <patternFill patternType="solid">
          <bgColor rgb="FFFEE7E5"/>
        </patternFill>
      </fill>
    </dxf>
    <dxf>
      <font>
        <b/>
        <color rgb="FF16794C"/>
      </font>
      <fill>
        <patternFill patternType="solid">
          <bgColor rgb="FFE7F5EE"/>
        </patternFill>
      </fill>
    </dxf>
    <dxf>
      <font>
        <b/>
        <color rgb="FF16794C"/>
      </font>
    </dxf>
    <dxf>
      <font>
        <b/>
        <color rgb="FFB42318"/>
      </font>
    </dxf>
    <dxf>
      <font>
        <b/>
        <color rgb="FF2A4A7F"/>
      </font>
      <fill>
        <patternFill patternType="solid">
          <bgColor rgb="FFE8EEF7"/>
        </patternFill>
      </fill>
    </dxf>
    <dxf>
      <font>
        <b/>
        <color rgb="FFA16207"/>
      </font>
      <fill>
        <patternFill patternType="solid">
          <bgColor rgb="FFFEF6E0"/>
        </patternFill>
      </fill>
    </dxf>
    <dxf>
      <font>
        <b/>
        <color rgb="FFB42318"/>
      </font>
      <fill>
        <patternFill patternType="solid">
          <bgColor rgb="FFFEE7E5"/>
        </patternFill>
      </fill>
    </dxf>
    <dxf>
      <font>
        <b/>
        <color rgb="FF16794C"/>
      </font>
      <fill>
        <patternFill patternType="solid">
          <bgColor rgb="FFE7F5EE"/>
        </patternFill>
      </fill>
    </dxf>
    <dxf>
      <font>
        <b/>
        <color rgb="FFB42318"/>
      </font>
    </dxf>
    <dxf>
      <font>
        <b/>
        <color rgb="FFB42318"/>
      </font>
    </dxf>
    <dxf>
      <font>
        <b/>
        <color rgb="FFB42318"/>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2A4A7F"/>
  </sheetPr>
  <dimension ref="A1:B23"/>
  <sheetFormatPr defaultRowHeight="15" outlineLevelRow="0" outlineLevelCol="0" x14ac:dyDescent="55"/>
  <cols>
    <col min="1" max="1" width="24" customWidth="1"/>
    <col min="2" max="2" width="100" customWidth="1"/>
  </cols>
  <sheetData>
    <row r="1" spans="1:2" s="1" customFormat="1" x14ac:dyDescent="0.25">
      <c r="A1" s="2" t="s">
        <v>0</v>
      </c>
      <c r="B1" s="3" t="s">
        <v>1</v>
      </c>
    </row>
    <row r="2" spans="1:2" s="4" customFormat="1" x14ac:dyDescent="0.25">
      <c r="A2" s="5" t="s">
        <v>1</v>
      </c>
      <c r="B2" s="6" t="s">
        <v>1</v>
      </c>
    </row>
    <row r="3" spans="1:2" s="4" customFormat="1" x14ac:dyDescent="0.25">
      <c r="A3" s="7" t="s">
        <v>2</v>
      </c>
      <c r="B3" s="6" t="s">
        <v>3</v>
      </c>
    </row>
    <row r="4" spans="1:2" s="4" customFormat="1" x14ac:dyDescent="0.25">
      <c r="A4" s="7" t="s">
        <v>4</v>
      </c>
      <c r="B4" s="8" t="s">
        <v>5</v>
      </c>
    </row>
    <row r="5" spans="1:2" s="4" customFormat="1" x14ac:dyDescent="0.25">
      <c r="A5" s="7" t="s">
        <v>6</v>
      </c>
      <c r="B5" s="6" t="s">
        <v>7</v>
      </c>
    </row>
    <row r="6" spans="1:2" s="4" customFormat="1" x14ac:dyDescent="0.25">
      <c r="A6" s="7" t="s">
        <v>8</v>
      </c>
      <c r="B6" s="6" t="s">
        <v>9</v>
      </c>
    </row>
    <row r="7" spans="1:2" s="4" customFormat="1" x14ac:dyDescent="0.25">
      <c r="A7" s="5" t="s">
        <v>1</v>
      </c>
      <c r="B7" s="6" t="s">
        <v>1</v>
      </c>
    </row>
    <row r="8" spans="1:2" s="9" customFormat="1" x14ac:dyDescent="0.25">
      <c r="A8" s="10" t="s">
        <v>10</v>
      </c>
      <c r="B8" s="11" t="s">
        <v>1</v>
      </c>
    </row>
    <row r="9" spans="1:2" s="4" customFormat="1" x14ac:dyDescent="0.25">
      <c r="A9" s="5" t="s">
        <v>11</v>
      </c>
      <c r="B9" s="6" t="s">
        <v>12</v>
      </c>
    </row>
    <row r="10" spans="1:2" s="4" customFormat="1" x14ac:dyDescent="0.25">
      <c r="A10" s="5" t="s">
        <v>13</v>
      </c>
      <c r="B10" s="6" t="s">
        <v>14</v>
      </c>
    </row>
    <row r="11" spans="1:2" s="4" customFormat="1" x14ac:dyDescent="0.25">
      <c r="A11" s="5" t="s">
        <v>15</v>
      </c>
      <c r="B11" s="6" t="s">
        <v>16</v>
      </c>
    </row>
    <row r="12" spans="1:2" s="4" customFormat="1" x14ac:dyDescent="0.25">
      <c r="A12" s="5" t="s">
        <v>17</v>
      </c>
      <c r="B12" s="6" t="s">
        <v>18</v>
      </c>
    </row>
    <row r="13" spans="1:2" s="4" customFormat="1" x14ac:dyDescent="0.25">
      <c r="A13" s="5" t="s">
        <v>19</v>
      </c>
      <c r="B13" s="6" t="s">
        <v>20</v>
      </c>
    </row>
    <row r="14" spans="1:2" s="4" customFormat="1" x14ac:dyDescent="0.25">
      <c r="A14" s="5" t="s">
        <v>1</v>
      </c>
      <c r="B14" s="6" t="s">
        <v>1</v>
      </c>
    </row>
    <row r="15" spans="1:2" s="9" customFormat="1" x14ac:dyDescent="0.25">
      <c r="A15" s="10" t="s">
        <v>21</v>
      </c>
      <c r="B15" s="11" t="s">
        <v>1</v>
      </c>
    </row>
    <row r="16" spans="1:2" s="4" customFormat="1" x14ac:dyDescent="0.25">
      <c r="A16" s="5" t="s">
        <v>22</v>
      </c>
      <c r="B16" s="6" t="s">
        <v>23</v>
      </c>
    </row>
    <row r="17" spans="1:2" s="4" customFormat="1" x14ac:dyDescent="0.25">
      <c r="A17" s="5" t="s">
        <v>24</v>
      </c>
      <c r="B17" s="6" t="s">
        <v>25</v>
      </c>
    </row>
    <row r="18" spans="1:2" s="4" customFormat="1" x14ac:dyDescent="0.25">
      <c r="A18" s="5" t="s">
        <v>26</v>
      </c>
      <c r="B18" s="6" t="s">
        <v>27</v>
      </c>
    </row>
    <row r="19" spans="1:2" s="4" customFormat="1" x14ac:dyDescent="0.25">
      <c r="A19" s="5" t="s">
        <v>1</v>
      </c>
      <c r="B19" s="6" t="s">
        <v>1</v>
      </c>
    </row>
    <row r="20" spans="1:2" s="4" customFormat="1" x14ac:dyDescent="0.25">
      <c r="A20" s="7" t="s">
        <v>28</v>
      </c>
      <c r="B20" s="6" t="s">
        <v>29</v>
      </c>
    </row>
    <row r="21" spans="1:2" s="4" customFormat="1" x14ac:dyDescent="0.25">
      <c r="A21" s="7" t="s">
        <v>30</v>
      </c>
      <c r="B21" s="6" t="s">
        <v>31</v>
      </c>
    </row>
    <row r="22" spans="1:2" s="4" customFormat="1" x14ac:dyDescent="0.25">
      <c r="A22" s="7" t="s">
        <v>32</v>
      </c>
      <c r="B22" s="6" t="s">
        <v>33</v>
      </c>
    </row>
    <row r="23" spans="1:2" s="4" customFormat="1" x14ac:dyDescent="0.25">
      <c r="A23" s="7" t="s">
        <v>34</v>
      </c>
      <c r="B23" s="6" t="s">
        <v>35</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B42318"/>
  </sheetPr>
  <dimension ref="A1:J37"/>
  <sheetViews>
    <sheetView workbookViewId="0">
      <pane ySplit="5" topLeftCell="A6" activePane="bottomLeft" state="frozen"/>
      <selection pane="bottomLeft"/>
    </sheetView>
  </sheetViews>
  <sheetFormatPr defaultRowHeight="15" outlineLevelRow="0" outlineLevelCol="0" x14ac:dyDescent="55"/>
  <cols>
    <col min="1" max="1" width="8" customWidth="1"/>
    <col min="2" max="2" width="12" customWidth="1"/>
    <col min="3" max="3" width="52" customWidth="1"/>
    <col min="4" max="4" width="10" customWidth="1"/>
    <col min="5" max="5" width="40" customWidth="1"/>
    <col min="6" max="6" width="34" customWidth="1"/>
    <col min="7" max="7" width="13" customWidth="1"/>
    <col min="8" max="8" width="30" customWidth="1"/>
    <col min="9" max="9" width="11" customWidth="1"/>
    <col min="10" max="10" width="13" customWidth="1"/>
  </cols>
  <sheetData>
    <row r="1" spans="1:10" s="1" customFormat="1" x14ac:dyDescent="0.25">
      <c r="A1" s="1" t="s">
        <v>36</v>
      </c>
      <c r="B1" s="1"/>
      <c r="C1" s="1"/>
      <c r="D1" s="1"/>
      <c r="E1" s="1"/>
      <c r="F1" s="1"/>
      <c r="G1" s="1"/>
      <c r="H1" s="1"/>
      <c r="I1" s="1"/>
      <c r="J1" s="1"/>
    </row>
    <row r="2" ht="34" customHeight="1" spans="1:10" x14ac:dyDescent="0.25">
      <c r="A2" s="12" t="s">
        <v>37</v>
      </c>
      <c r="B2" s="12"/>
      <c r="C2" s="12"/>
      <c r="D2" s="12"/>
      <c r="E2" s="12"/>
      <c r="F2" s="12"/>
      <c r="G2" s="12"/>
      <c r="H2" s="12"/>
      <c r="I2" s="12"/>
      <c r="J2" s="12"/>
    </row>
    <row r="3" spans="1:10" x14ac:dyDescent="0.25">
      <c r="A3" s="13" t="s">
        <v>38</v>
      </c>
      <c r="B3" s="14">
        <f>COUNTIF($G$6:$G$37,"Xong")&amp;" / "&amp;COUNTIF($A$6:$A$37,"W1-*")&amp;" việc xong"</f>
      </c>
      <c r="C3" t="s">
        <v>1</v>
      </c>
      <c r="D3" t="s">
        <v>1</v>
      </c>
      <c r="E3" s="15">
        <f>"Bị chặn: "&amp;COUNTIF($G$6:$G$37,"Bị chặn")&amp;"   ·   Đạt con số: "&amp;COUNTIF($I$6:$I$37,"Đạt")</f>
      </c>
      <c r="F3" t="s">
        <v>1</v>
      </c>
      <c r="G3" t="s">
        <v>1</v>
      </c>
      <c r="H3" t="s">
        <v>1</v>
      </c>
      <c r="I3" t="s">
        <v>1</v>
      </c>
      <c r="J3" t="s">
        <v>1</v>
      </c>
    </row>
    <row r="5" ht="30" customHeight="1" spans="1:10" x14ac:dyDescent="0.25">
      <c r="A5" s="16" t="s">
        <v>39</v>
      </c>
      <c r="B5" s="16" t="s">
        <v>40</v>
      </c>
      <c r="C5" s="16" t="s">
        <v>41</v>
      </c>
      <c r="D5" s="16" t="s">
        <v>42</v>
      </c>
      <c r="E5" s="16" t="s">
        <v>43</v>
      </c>
      <c r="F5" s="16" t="s">
        <v>44</v>
      </c>
      <c r="G5" s="16" t="s">
        <v>45</v>
      </c>
      <c r="H5" s="16" t="s">
        <v>46</v>
      </c>
      <c r="I5" s="16" t="s">
        <v>47</v>
      </c>
      <c r="J5" s="16" t="s">
        <v>48</v>
      </c>
    </row>
    <row r="6" spans="1:10" x14ac:dyDescent="0.25">
      <c r="A6" s="17" t="s">
        <v>49</v>
      </c>
      <c r="B6" s="17"/>
      <c r="C6" s="17"/>
      <c r="D6" s="17"/>
      <c r="E6" s="17"/>
      <c r="F6" s="17"/>
      <c r="G6" s="17"/>
      <c r="H6" s="17"/>
      <c r="I6" s="17"/>
      <c r="J6" s="17"/>
    </row>
    <row r="7" spans="1:10" x14ac:dyDescent="0.25">
      <c r="A7" s="18" t="s">
        <v>50</v>
      </c>
      <c r="B7" s="19" t="s">
        <v>51</v>
      </c>
      <c r="C7" s="20" t="s">
        <v>52</v>
      </c>
      <c r="D7" s="21" t="s">
        <v>53</v>
      </c>
      <c r="E7" s="22" t="s">
        <v>54</v>
      </c>
      <c r="F7" s="20" t="s">
        <v>55</v>
      </c>
      <c r="G7" s="23" t="s">
        <v>11</v>
      </c>
      <c r="H7" s="24"/>
      <c r="I7" s="23"/>
      <c r="J7" s="21" t="s">
        <v>56</v>
      </c>
    </row>
    <row r="8" spans="1:10" x14ac:dyDescent="0.25">
      <c r="A8" s="18" t="s">
        <v>57</v>
      </c>
      <c r="B8" s="19" t="s">
        <v>51</v>
      </c>
      <c r="C8" s="20" t="s">
        <v>58</v>
      </c>
      <c r="D8" s="21" t="s">
        <v>53</v>
      </c>
      <c r="E8" s="22" t="s">
        <v>59</v>
      </c>
      <c r="F8" s="20" t="s">
        <v>60</v>
      </c>
      <c r="G8" s="23" t="s">
        <v>11</v>
      </c>
      <c r="H8" s="24"/>
      <c r="I8" s="23"/>
      <c r="J8" s="21" t="s">
        <v>56</v>
      </c>
    </row>
    <row r="9" spans="1:10" x14ac:dyDescent="0.25">
      <c r="A9" s="18" t="s">
        <v>61</v>
      </c>
      <c r="B9" s="19" t="s">
        <v>51</v>
      </c>
      <c r="C9" s="20" t="s">
        <v>62</v>
      </c>
      <c r="D9" s="21" t="s">
        <v>63</v>
      </c>
      <c r="E9" s="22" t="s">
        <v>64</v>
      </c>
      <c r="F9" s="20" t="s">
        <v>65</v>
      </c>
      <c r="G9" s="23" t="s">
        <v>11</v>
      </c>
      <c r="H9" s="24"/>
      <c r="I9" s="23"/>
      <c r="J9" s="21" t="s">
        <v>66</v>
      </c>
    </row>
    <row r="10" spans="1:10" x14ac:dyDescent="0.25">
      <c r="A10" s="18" t="s">
        <v>67</v>
      </c>
      <c r="B10" s="19" t="s">
        <v>51</v>
      </c>
      <c r="C10" s="20" t="s">
        <v>68</v>
      </c>
      <c r="D10" s="21" t="s">
        <v>63</v>
      </c>
      <c r="E10" s="22" t="s">
        <v>69</v>
      </c>
      <c r="F10" s="20" t="s">
        <v>70</v>
      </c>
      <c r="G10" s="23" t="s">
        <v>11</v>
      </c>
      <c r="H10" s="24"/>
      <c r="I10" s="23"/>
      <c r="J10" s="21" t="s">
        <v>66</v>
      </c>
    </row>
    <row r="11" spans="1:10" x14ac:dyDescent="0.25">
      <c r="A11" s="18" t="s">
        <v>71</v>
      </c>
      <c r="B11" s="19" t="s">
        <v>51</v>
      </c>
      <c r="C11" s="20" t="s">
        <v>72</v>
      </c>
      <c r="D11" s="21" t="s">
        <v>53</v>
      </c>
      <c r="E11" s="22" t="s">
        <v>73</v>
      </c>
      <c r="F11" s="20" t="s">
        <v>74</v>
      </c>
      <c r="G11" s="23" t="s">
        <v>11</v>
      </c>
      <c r="H11" s="24"/>
      <c r="I11" s="23"/>
      <c r="J11" s="21" t="s">
        <v>75</v>
      </c>
    </row>
    <row r="12" spans="1:10" x14ac:dyDescent="0.25">
      <c r="A12" s="18" t="s">
        <v>76</v>
      </c>
      <c r="B12" s="19" t="s">
        <v>51</v>
      </c>
      <c r="C12" s="20" t="s">
        <v>77</v>
      </c>
      <c r="D12" s="21" t="s">
        <v>78</v>
      </c>
      <c r="E12" s="22" t="s">
        <v>79</v>
      </c>
      <c r="F12" s="20" t="s">
        <v>80</v>
      </c>
      <c r="G12" s="23" t="s">
        <v>11</v>
      </c>
      <c r="H12" s="24"/>
      <c r="I12" s="23"/>
      <c r="J12" s="21" t="s">
        <v>81</v>
      </c>
    </row>
    <row r="13" spans="1:10" x14ac:dyDescent="0.25">
      <c r="A13" s="17" t="s">
        <v>82</v>
      </c>
      <c r="B13" s="17"/>
      <c r="C13" s="17"/>
      <c r="D13" s="17"/>
      <c r="E13" s="17"/>
      <c r="F13" s="17"/>
      <c r="G13" s="17"/>
      <c r="H13" s="17"/>
      <c r="I13" s="17"/>
      <c r="J13" s="17"/>
    </row>
    <row r="14" spans="1:10" x14ac:dyDescent="0.25">
      <c r="A14" s="18" t="s">
        <v>83</v>
      </c>
      <c r="B14" s="19" t="s">
        <v>84</v>
      </c>
      <c r="C14" s="20" t="s">
        <v>85</v>
      </c>
      <c r="D14" s="21" t="s">
        <v>63</v>
      </c>
      <c r="E14" s="22" t="s">
        <v>86</v>
      </c>
      <c r="F14" s="20" t="s">
        <v>87</v>
      </c>
      <c r="G14" s="23" t="s">
        <v>11</v>
      </c>
      <c r="H14" s="24"/>
      <c r="I14" s="23"/>
      <c r="J14" s="21" t="s">
        <v>88</v>
      </c>
    </row>
    <row r="15" spans="1:10" x14ac:dyDescent="0.25">
      <c r="A15" s="18" t="s">
        <v>89</v>
      </c>
      <c r="B15" s="19" t="s">
        <v>84</v>
      </c>
      <c r="C15" s="20" t="s">
        <v>90</v>
      </c>
      <c r="D15" s="21" t="s">
        <v>63</v>
      </c>
      <c r="E15" s="22" t="s">
        <v>91</v>
      </c>
      <c r="F15" s="20" t="s">
        <v>92</v>
      </c>
      <c r="G15" s="23" t="s">
        <v>11</v>
      </c>
      <c r="H15" s="24"/>
      <c r="I15" s="23"/>
      <c r="J15" s="21" t="s">
        <v>93</v>
      </c>
    </row>
    <row r="16" spans="1:10" x14ac:dyDescent="0.25">
      <c r="A16" s="18" t="s">
        <v>94</v>
      </c>
      <c r="B16" s="19" t="s">
        <v>84</v>
      </c>
      <c r="C16" s="20" t="s">
        <v>95</v>
      </c>
      <c r="D16" s="21" t="s">
        <v>96</v>
      </c>
      <c r="E16" s="22" t="s">
        <v>97</v>
      </c>
      <c r="F16" s="20" t="s">
        <v>98</v>
      </c>
      <c r="G16" s="23" t="s">
        <v>11</v>
      </c>
      <c r="H16" s="24"/>
      <c r="I16" s="23"/>
      <c r="J16" s="21" t="s">
        <v>99</v>
      </c>
    </row>
    <row r="17" spans="1:10" x14ac:dyDescent="0.25">
      <c r="A17" s="18" t="s">
        <v>100</v>
      </c>
      <c r="B17" s="19" t="s">
        <v>84</v>
      </c>
      <c r="C17" s="20" t="s">
        <v>101</v>
      </c>
      <c r="D17" s="21" t="s">
        <v>78</v>
      </c>
      <c r="E17" s="22" t="s">
        <v>102</v>
      </c>
      <c r="F17" s="20" t="s">
        <v>103</v>
      </c>
      <c r="G17" s="23" t="s">
        <v>11</v>
      </c>
      <c r="H17" s="24"/>
      <c r="I17" s="23"/>
      <c r="J17" s="21" t="s">
        <v>104</v>
      </c>
    </row>
    <row r="18" spans="1:10" x14ac:dyDescent="0.25">
      <c r="A18" s="18" t="s">
        <v>105</v>
      </c>
      <c r="B18" s="19" t="s">
        <v>84</v>
      </c>
      <c r="C18" s="20" t="s">
        <v>106</v>
      </c>
      <c r="D18" s="21" t="s">
        <v>53</v>
      </c>
      <c r="E18" s="22" t="s">
        <v>107</v>
      </c>
      <c r="F18" s="20" t="s">
        <v>108</v>
      </c>
      <c r="G18" s="23" t="s">
        <v>11</v>
      </c>
      <c r="H18" s="24"/>
      <c r="I18" s="23"/>
      <c r="J18" s="21" t="s">
        <v>109</v>
      </c>
    </row>
    <row r="19" spans="1:10" x14ac:dyDescent="0.25">
      <c r="A19" s="17" t="s">
        <v>110</v>
      </c>
      <c r="B19" s="17"/>
      <c r="C19" s="17"/>
      <c r="D19" s="17"/>
      <c r="E19" s="17"/>
      <c r="F19" s="17"/>
      <c r="G19" s="17"/>
      <c r="H19" s="17"/>
      <c r="I19" s="17"/>
      <c r="J19" s="17"/>
    </row>
    <row r="20" spans="1:10" x14ac:dyDescent="0.25">
      <c r="A20" s="18" t="s">
        <v>111</v>
      </c>
      <c r="B20" s="19" t="s">
        <v>112</v>
      </c>
      <c r="C20" s="20" t="s">
        <v>113</v>
      </c>
      <c r="D20" s="21" t="s">
        <v>78</v>
      </c>
      <c r="E20" s="22" t="s">
        <v>114</v>
      </c>
      <c r="F20" s="20" t="s">
        <v>115</v>
      </c>
      <c r="G20" s="23" t="s">
        <v>11</v>
      </c>
      <c r="H20" s="24"/>
      <c r="I20" s="23"/>
      <c r="J20" s="21" t="s">
        <v>116</v>
      </c>
    </row>
    <row r="21" spans="1:10" x14ac:dyDescent="0.25">
      <c r="A21" s="18" t="s">
        <v>117</v>
      </c>
      <c r="B21" s="19" t="s">
        <v>112</v>
      </c>
      <c r="C21" s="20" t="s">
        <v>118</v>
      </c>
      <c r="D21" s="21" t="s">
        <v>78</v>
      </c>
      <c r="E21" s="22" t="s">
        <v>119</v>
      </c>
      <c r="F21" s="20" t="s">
        <v>120</v>
      </c>
      <c r="G21" s="23" t="s">
        <v>11</v>
      </c>
      <c r="H21" s="24"/>
      <c r="I21" s="23"/>
      <c r="J21" s="21" t="s">
        <v>116</v>
      </c>
    </row>
    <row r="22" spans="1:10" x14ac:dyDescent="0.25">
      <c r="A22" s="18" t="s">
        <v>121</v>
      </c>
      <c r="B22" s="19" t="s">
        <v>112</v>
      </c>
      <c r="C22" s="20" t="s">
        <v>122</v>
      </c>
      <c r="D22" s="21" t="s">
        <v>78</v>
      </c>
      <c r="E22" s="22" t="s">
        <v>123</v>
      </c>
      <c r="F22" s="20" t="s">
        <v>124</v>
      </c>
      <c r="G22" s="23" t="s">
        <v>11</v>
      </c>
      <c r="H22" s="24"/>
      <c r="I22" s="23"/>
      <c r="J22" s="21" t="s">
        <v>125</v>
      </c>
    </row>
    <row r="23" spans="1:10" x14ac:dyDescent="0.25">
      <c r="A23" s="18" t="s">
        <v>126</v>
      </c>
      <c r="B23" s="19" t="s">
        <v>112</v>
      </c>
      <c r="C23" s="20" t="s">
        <v>127</v>
      </c>
      <c r="D23" s="21" t="s">
        <v>78</v>
      </c>
      <c r="E23" s="22" t="s">
        <v>128</v>
      </c>
      <c r="F23" s="20" t="s">
        <v>129</v>
      </c>
      <c r="G23" s="23" t="s">
        <v>11</v>
      </c>
      <c r="H23" s="24"/>
      <c r="I23" s="23"/>
      <c r="J23" s="21" t="s">
        <v>130</v>
      </c>
    </row>
    <row r="24" spans="1:10" x14ac:dyDescent="0.25">
      <c r="A24" s="18" t="s">
        <v>131</v>
      </c>
      <c r="B24" s="19" t="s">
        <v>112</v>
      </c>
      <c r="C24" s="20" t="s">
        <v>132</v>
      </c>
      <c r="D24" s="21" t="s">
        <v>78</v>
      </c>
      <c r="E24" s="22" t="s">
        <v>133</v>
      </c>
      <c r="F24" s="20" t="s">
        <v>134</v>
      </c>
      <c r="G24" s="23" t="s">
        <v>11</v>
      </c>
      <c r="H24" s="24"/>
      <c r="I24" s="23"/>
      <c r="J24" s="21" t="s">
        <v>1</v>
      </c>
    </row>
    <row r="25" spans="1:10" x14ac:dyDescent="0.25">
      <c r="A25" s="17" t="s">
        <v>135</v>
      </c>
      <c r="B25" s="17"/>
      <c r="C25" s="17"/>
      <c r="D25" s="17"/>
      <c r="E25" s="17"/>
      <c r="F25" s="17"/>
      <c r="G25" s="17"/>
      <c r="H25" s="17"/>
      <c r="I25" s="17"/>
      <c r="J25" s="17"/>
    </row>
    <row r="26" spans="1:10" x14ac:dyDescent="0.25">
      <c r="A26" s="18" t="s">
        <v>136</v>
      </c>
      <c r="B26" s="19" t="s">
        <v>137</v>
      </c>
      <c r="C26" s="20" t="s">
        <v>138</v>
      </c>
      <c r="D26" s="21" t="s">
        <v>96</v>
      </c>
      <c r="E26" s="22" t="s">
        <v>139</v>
      </c>
      <c r="F26" s="20" t="s">
        <v>140</v>
      </c>
      <c r="G26" s="23" t="s">
        <v>11</v>
      </c>
      <c r="H26" s="24"/>
      <c r="I26" s="23"/>
      <c r="J26" s="21" t="s">
        <v>141</v>
      </c>
    </row>
    <row r="27" spans="1:10" x14ac:dyDescent="0.25">
      <c r="A27" s="18" t="s">
        <v>142</v>
      </c>
      <c r="B27" s="19" t="s">
        <v>137</v>
      </c>
      <c r="C27" s="20" t="s">
        <v>143</v>
      </c>
      <c r="D27" s="21" t="s">
        <v>96</v>
      </c>
      <c r="E27" s="22" t="s">
        <v>144</v>
      </c>
      <c r="F27" s="20" t="s">
        <v>145</v>
      </c>
      <c r="G27" s="23" t="s">
        <v>11</v>
      </c>
      <c r="H27" s="24"/>
      <c r="I27" s="23"/>
      <c r="J27" s="21" t="s">
        <v>146</v>
      </c>
    </row>
    <row r="28" spans="1:10" x14ac:dyDescent="0.25">
      <c r="A28" s="18" t="s">
        <v>147</v>
      </c>
      <c r="B28" s="19" t="s">
        <v>137</v>
      </c>
      <c r="C28" s="20" t="s">
        <v>148</v>
      </c>
      <c r="D28" s="21" t="s">
        <v>96</v>
      </c>
      <c r="E28" s="22" t="s">
        <v>149</v>
      </c>
      <c r="F28" s="20" t="s">
        <v>150</v>
      </c>
      <c r="G28" s="23" t="s">
        <v>11</v>
      </c>
      <c r="H28" s="24"/>
      <c r="I28" s="23"/>
      <c r="J28" s="21" t="s">
        <v>151</v>
      </c>
    </row>
    <row r="29" spans="1:10" x14ac:dyDescent="0.25">
      <c r="A29" s="18" t="s">
        <v>152</v>
      </c>
      <c r="B29" s="19" t="s">
        <v>137</v>
      </c>
      <c r="C29" s="20" t="s">
        <v>153</v>
      </c>
      <c r="D29" s="21" t="s">
        <v>96</v>
      </c>
      <c r="E29" s="22" t="s">
        <v>154</v>
      </c>
      <c r="F29" s="20" t="s">
        <v>155</v>
      </c>
      <c r="G29" s="23" t="s">
        <v>11</v>
      </c>
      <c r="H29" s="24"/>
      <c r="I29" s="23"/>
      <c r="J29" s="21" t="s">
        <v>151</v>
      </c>
    </row>
    <row r="30" spans="1:10" x14ac:dyDescent="0.25">
      <c r="A30" s="18" t="s">
        <v>156</v>
      </c>
      <c r="B30" s="19" t="s">
        <v>137</v>
      </c>
      <c r="C30" s="20" t="s">
        <v>157</v>
      </c>
      <c r="D30" s="21" t="s">
        <v>63</v>
      </c>
      <c r="E30" s="22" t="s">
        <v>158</v>
      </c>
      <c r="F30" s="20" t="s">
        <v>159</v>
      </c>
      <c r="G30" s="23" t="s">
        <v>11</v>
      </c>
      <c r="H30" s="24"/>
      <c r="I30" s="23"/>
      <c r="J30" s="21" t="s">
        <v>160</v>
      </c>
    </row>
    <row r="31" spans="1:10" x14ac:dyDescent="0.25">
      <c r="A31" s="18" t="s">
        <v>161</v>
      </c>
      <c r="B31" s="19" t="s">
        <v>137</v>
      </c>
      <c r="C31" s="20" t="s">
        <v>162</v>
      </c>
      <c r="D31" s="21" t="s">
        <v>96</v>
      </c>
      <c r="E31" s="22" t="s">
        <v>163</v>
      </c>
      <c r="F31" s="20" t="s">
        <v>164</v>
      </c>
      <c r="G31" s="23" t="s">
        <v>11</v>
      </c>
      <c r="H31" s="24"/>
      <c r="I31" s="23"/>
      <c r="J31" s="21" t="s">
        <v>165</v>
      </c>
    </row>
    <row r="32" spans="1:10" x14ac:dyDescent="0.25">
      <c r="A32" s="18" t="s">
        <v>166</v>
      </c>
      <c r="B32" s="19" t="s">
        <v>137</v>
      </c>
      <c r="C32" s="20" t="s">
        <v>167</v>
      </c>
      <c r="D32" s="21" t="s">
        <v>96</v>
      </c>
      <c r="E32" s="22" t="s">
        <v>168</v>
      </c>
      <c r="F32" s="20" t="s">
        <v>169</v>
      </c>
      <c r="G32" s="23" t="s">
        <v>11</v>
      </c>
      <c r="H32" s="24"/>
      <c r="I32" s="23"/>
      <c r="J32" s="21" t="s">
        <v>170</v>
      </c>
    </row>
    <row r="33" spans="1:10" x14ac:dyDescent="0.25">
      <c r="A33" s="17" t="s">
        <v>171</v>
      </c>
      <c r="B33" s="17"/>
      <c r="C33" s="17"/>
      <c r="D33" s="17"/>
      <c r="E33" s="17"/>
      <c r="F33" s="17"/>
      <c r="G33" s="17"/>
      <c r="H33" s="17"/>
      <c r="I33" s="17"/>
      <c r="J33" s="17"/>
    </row>
    <row r="34" spans="1:10" x14ac:dyDescent="0.25">
      <c r="A34" s="18" t="s">
        <v>172</v>
      </c>
      <c r="B34" s="19" t="s">
        <v>173</v>
      </c>
      <c r="C34" s="20" t="s">
        <v>174</v>
      </c>
      <c r="D34" s="21" t="s">
        <v>78</v>
      </c>
      <c r="E34" s="22" t="s">
        <v>175</v>
      </c>
      <c r="F34" s="20" t="s">
        <v>176</v>
      </c>
      <c r="G34" s="23" t="s">
        <v>11</v>
      </c>
      <c r="H34" s="24"/>
      <c r="I34" s="23"/>
      <c r="J34" s="21" t="s">
        <v>177</v>
      </c>
    </row>
    <row r="35" spans="1:10" x14ac:dyDescent="0.25">
      <c r="A35" s="18" t="s">
        <v>178</v>
      </c>
      <c r="B35" s="19" t="s">
        <v>173</v>
      </c>
      <c r="C35" s="20" t="s">
        <v>179</v>
      </c>
      <c r="D35" s="21" t="s">
        <v>78</v>
      </c>
      <c r="E35" s="22" t="s">
        <v>180</v>
      </c>
      <c r="F35" s="20" t="s">
        <v>181</v>
      </c>
      <c r="G35" s="23" t="s">
        <v>11</v>
      </c>
      <c r="H35" s="24"/>
      <c r="I35" s="23"/>
      <c r="J35" s="21" t="s">
        <v>182</v>
      </c>
    </row>
    <row r="36" spans="1:10" x14ac:dyDescent="0.25">
      <c r="A36" s="18" t="s">
        <v>183</v>
      </c>
      <c r="B36" s="19" t="s">
        <v>173</v>
      </c>
      <c r="C36" s="20" t="s">
        <v>184</v>
      </c>
      <c r="D36" s="21" t="s">
        <v>78</v>
      </c>
      <c r="E36" s="22" t="s">
        <v>185</v>
      </c>
      <c r="F36" s="20" t="s">
        <v>186</v>
      </c>
      <c r="G36" s="23" t="s">
        <v>11</v>
      </c>
      <c r="H36" s="24"/>
      <c r="I36" s="23"/>
      <c r="J36" s="21" t="s">
        <v>187</v>
      </c>
    </row>
    <row r="37" spans="1:10" x14ac:dyDescent="0.25">
      <c r="A37" s="18" t="s">
        <v>188</v>
      </c>
      <c r="B37" s="19" t="s">
        <v>173</v>
      </c>
      <c r="C37" s="20" t="s">
        <v>189</v>
      </c>
      <c r="D37" s="21" t="s">
        <v>78</v>
      </c>
      <c r="E37" s="22" t="s">
        <v>190</v>
      </c>
      <c r="F37" s="20" t="s">
        <v>191</v>
      </c>
      <c r="G37" s="23" t="s">
        <v>11</v>
      </c>
      <c r="H37" s="24"/>
      <c r="I37" s="23"/>
      <c r="J37" s="21" t="s">
        <v>192</v>
      </c>
    </row>
  </sheetData>
  <mergeCells count="7">
    <mergeCell ref="A1:J1"/>
    <mergeCell ref="A2:J2"/>
    <mergeCell ref="A6:J6"/>
    <mergeCell ref="A13:J13"/>
    <mergeCell ref="A19:J19"/>
    <mergeCell ref="A25:J25"/>
    <mergeCell ref="A33:J33"/>
  </mergeCells>
  <conditionalFormatting sqref="G6:G37">
    <cfRule type="cellIs" dxfId="0" priority="1" operator="equal">
      <formula>"Đang làm"</formula>
    </cfRule>
    <cfRule type="cellIs" dxfId="1" priority="2" operator="equal">
      <formula>"Chờ review"</formula>
    </cfRule>
    <cfRule type="cellIs" dxfId="2" priority="3" operator="equal">
      <formula>"Bị chặn"</formula>
    </cfRule>
    <cfRule type="cellIs" dxfId="3" priority="4" operator="equal">
      <formula>"Xong"</formula>
    </cfRule>
  </conditionalFormatting>
  <conditionalFormatting sqref="I6:I37">
    <cfRule type="cellIs" dxfId="4" priority="20" operator="equal">
      <formula>"Đạt"</formula>
    </cfRule>
    <cfRule type="cellIs" dxfId="5" priority="21" operator="equal">
      <formula>"Chưa đạt"</formula>
    </cfRule>
  </conditionalFormatting>
  <dataValidations count="18">
    <dataValidation type="list" allowBlank="1" sqref="D10:D12">
      <formula1>"Huy,Dương,Hoàn,Giáp"</formula1>
    </dataValidation>
    <dataValidation type="list" allowBlank="1" sqref="D14:D18">
      <formula1>"Huy,Dương,Hoàn,Giáp"</formula1>
    </dataValidation>
    <dataValidation type="list" allowBlank="1" sqref="D20:D24">
      <formula1>"Huy,Dương,Hoàn,Giáp"</formula1>
    </dataValidation>
    <dataValidation type="list" allowBlank="1" sqref="D26:D32">
      <formula1>"Huy,Dương,Hoàn,Giáp"</formula1>
    </dataValidation>
    <dataValidation type="list" allowBlank="1" sqref="D34:D37">
      <formula1>"Huy,Dương,Hoàn,Giáp"</formula1>
    </dataValidation>
    <dataValidation type="list" allowBlank="1" sqref="D7:D12">
      <formula1>"Huy,Dương,Hoàn,Giáp"</formula1>
    </dataValidation>
    <dataValidation type="list" allowBlank="1" sqref="G10:G12">
      <formula1>"Chưa làm,Đang làm,Chờ review,Bị chặn,Xong"</formula1>
    </dataValidation>
    <dataValidation type="list" allowBlank="1" sqref="G14:G18">
      <formula1>"Chưa làm,Đang làm,Chờ review,Bị chặn,Xong"</formula1>
    </dataValidation>
    <dataValidation type="list" allowBlank="1" sqref="G20:G24">
      <formula1>"Chưa làm,Đang làm,Chờ review,Bị chặn,Xong"</formula1>
    </dataValidation>
    <dataValidation type="list" allowBlank="1" sqref="G26:G32">
      <formula1>"Chưa làm,Đang làm,Chờ review,Bị chặn,Xong"</formula1>
    </dataValidation>
    <dataValidation type="list" allowBlank="1" sqref="G34:G37">
      <formula1>"Chưa làm,Đang làm,Chờ review,Bị chặn,Xong"</formula1>
    </dataValidation>
    <dataValidation type="list" allowBlank="1" sqref="G7:G12">
      <formula1>"Chưa làm,Đang làm,Chờ review,Bị chặn,Xong"</formula1>
    </dataValidation>
    <dataValidation type="list" allowBlank="1" sqref="I10:I12">
      <formula1>"Đạt,Chưa đạt"</formula1>
    </dataValidation>
    <dataValidation type="list" allowBlank="1" sqref="I14:I18">
      <formula1>"Đạt,Chưa đạt"</formula1>
    </dataValidation>
    <dataValidation type="list" allowBlank="1" sqref="I20:I24">
      <formula1>"Đạt,Chưa đạt"</formula1>
    </dataValidation>
    <dataValidation type="list" allowBlank="1" sqref="I26:I32">
      <formula1>"Đạt,Chưa đạt"</formula1>
    </dataValidation>
    <dataValidation type="list" allowBlank="1" sqref="I34:I37">
      <formula1>"Đạt,Chưa đạt"</formula1>
    </dataValidation>
    <dataValidation type="list" allowBlank="1" sqref="I7:I12">
      <formula1>"Đạt,Chưa đạt"</formula1>
    </dataValidation>
  </dataValidations>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16794C"/>
  </sheetPr>
  <dimension ref="A1:N300"/>
  <sheetViews>
    <sheetView workbookViewId="0">
      <pane xSplit="3" ySplit="1" topLeftCell="D2" activePane="bottomRight" state="frozen"/>
      <selection pane="bottomRight"/>
    </sheetView>
  </sheetViews>
  <sheetFormatPr defaultRowHeight="15" outlineLevelRow="0" outlineLevelCol="0" x14ac:dyDescent="55"/>
  <cols>
    <col min="1" max="1" width="7" customWidth="1"/>
    <col min="2" max="2" width="20" customWidth="1"/>
    <col min="3" max="3" width="60" customWidth="1"/>
    <col min="4" max="4" width="11" customWidth="1"/>
    <col min="5" max="5" width="10" customWidth="1"/>
    <col min="7" max="7" width="13" customWidth="1"/>
    <col min="9" max="9" width="12" customWidth="1"/>
    <col min="10" max="10" width="50" customWidth="1"/>
    <col min="11" max="11" width="22" customWidth="1"/>
    <col min="12" max="12" width="28" customWidth="1"/>
    <col min="13" max="13" width="36" customWidth="1"/>
    <col min="14" max="14" width="15" customWidth="1"/>
  </cols>
  <sheetData>
    <row r="1" ht="30" customHeight="1" spans="1:14" x14ac:dyDescent="0.25">
      <c r="A1" s="16" t="s">
        <v>39</v>
      </c>
      <c r="B1" s="16" t="s">
        <v>193</v>
      </c>
      <c r="C1" s="16" t="s">
        <v>41</v>
      </c>
      <c r="D1" s="16" t="s">
        <v>42</v>
      </c>
      <c r="E1" s="16" t="s">
        <v>194</v>
      </c>
      <c r="F1" s="16" t="s">
        <v>195</v>
      </c>
      <c r="G1" s="16" t="s">
        <v>45</v>
      </c>
      <c r="H1" s="16" t="s">
        <v>196</v>
      </c>
      <c r="I1" s="16" t="s">
        <v>197</v>
      </c>
      <c r="J1" s="16" t="s">
        <v>198</v>
      </c>
      <c r="K1" s="16" t="s">
        <v>199</v>
      </c>
      <c r="L1" s="16" t="s">
        <v>200</v>
      </c>
      <c r="M1" s="16" t="s">
        <v>201</v>
      </c>
      <c r="N1" s="16" t="s">
        <v>202</v>
      </c>
    </row>
    <row r="2" spans="1:14" x14ac:dyDescent="0.25">
      <c r="A2" s="18" t="s">
        <v>203</v>
      </c>
      <c r="B2" s="19" t="s">
        <v>204</v>
      </c>
      <c r="C2" s="20" t="s">
        <v>205</v>
      </c>
      <c r="D2" s="21" t="s">
        <v>78</v>
      </c>
      <c r="E2" s="21" t="s">
        <v>206</v>
      </c>
      <c r="F2" s="21" t="s">
        <v>22</v>
      </c>
      <c r="G2" s="23" t="s">
        <v>13</v>
      </c>
      <c r="H2" s="25">
        <v>0</v>
      </c>
      <c r="I2" s="26"/>
      <c r="J2" s="20" t="s">
        <v>207</v>
      </c>
      <c r="K2" s="20" t="s">
        <v>1</v>
      </c>
      <c r="L2" s="24"/>
      <c r="M2" s="24"/>
      <c r="N2" s="26"/>
    </row>
    <row r="3" spans="1:14" x14ac:dyDescent="0.25">
      <c r="A3" s="18" t="s">
        <v>208</v>
      </c>
      <c r="B3" s="19" t="s">
        <v>204</v>
      </c>
      <c r="C3" s="20" t="s">
        <v>209</v>
      </c>
      <c r="D3" s="21" t="s">
        <v>78</v>
      </c>
      <c r="E3" s="21" t="s">
        <v>206</v>
      </c>
      <c r="F3" s="21" t="s">
        <v>22</v>
      </c>
      <c r="G3" s="23" t="s">
        <v>11</v>
      </c>
      <c r="H3" s="25">
        <v>0</v>
      </c>
      <c r="I3" s="26"/>
      <c r="J3" s="20" t="s">
        <v>210</v>
      </c>
      <c r="K3" s="20" t="s">
        <v>211</v>
      </c>
      <c r="L3" s="24"/>
      <c r="M3" s="24"/>
      <c r="N3" s="26"/>
    </row>
    <row r="4" spans="1:14" x14ac:dyDescent="0.25">
      <c r="A4" s="18" t="s">
        <v>104</v>
      </c>
      <c r="B4" s="19" t="s">
        <v>204</v>
      </c>
      <c r="C4" s="20" t="s">
        <v>212</v>
      </c>
      <c r="D4" s="21" t="s">
        <v>78</v>
      </c>
      <c r="E4" s="21" t="s">
        <v>213</v>
      </c>
      <c r="F4" s="21" t="s">
        <v>22</v>
      </c>
      <c r="G4" s="23" t="s">
        <v>11</v>
      </c>
      <c r="H4" s="25">
        <v>0</v>
      </c>
      <c r="I4" s="26"/>
      <c r="J4" s="20" t="s">
        <v>214</v>
      </c>
      <c r="K4" s="20" t="s">
        <v>1</v>
      </c>
      <c r="L4" s="24"/>
      <c r="M4" s="24"/>
      <c r="N4" s="26"/>
    </row>
    <row r="5" spans="1:14" x14ac:dyDescent="0.25">
      <c r="A5" s="18" t="s">
        <v>215</v>
      </c>
      <c r="B5" s="19" t="s">
        <v>204</v>
      </c>
      <c r="C5" s="20" t="s">
        <v>216</v>
      </c>
      <c r="D5" s="21" t="s">
        <v>78</v>
      </c>
      <c r="E5" s="21" t="s">
        <v>26</v>
      </c>
      <c r="F5" s="21" t="s">
        <v>26</v>
      </c>
      <c r="G5" s="23" t="s">
        <v>11</v>
      </c>
      <c r="H5" s="25">
        <v>0</v>
      </c>
      <c r="I5" s="26"/>
      <c r="J5" s="20" t="s">
        <v>217</v>
      </c>
      <c r="K5" s="20" t="s">
        <v>1</v>
      </c>
      <c r="L5" s="24"/>
      <c r="M5" s="24"/>
      <c r="N5" s="26"/>
    </row>
    <row r="6" spans="1:14" x14ac:dyDescent="0.25">
      <c r="A6" s="18" t="s">
        <v>182</v>
      </c>
      <c r="B6" s="19" t="s">
        <v>204</v>
      </c>
      <c r="C6" s="20" t="s">
        <v>218</v>
      </c>
      <c r="D6" s="21" t="s">
        <v>78</v>
      </c>
      <c r="E6" s="21" t="s">
        <v>206</v>
      </c>
      <c r="F6" s="21" t="s">
        <v>22</v>
      </c>
      <c r="G6" s="23" t="s">
        <v>11</v>
      </c>
      <c r="H6" s="25">
        <v>0</v>
      </c>
      <c r="I6" s="26"/>
      <c r="J6" s="20" t="s">
        <v>219</v>
      </c>
      <c r="K6" s="20" t="s">
        <v>63</v>
      </c>
      <c r="L6" s="24"/>
      <c r="M6" s="24"/>
      <c r="N6" s="26"/>
    </row>
    <row r="7" spans="1:14" x14ac:dyDescent="0.25">
      <c r="A7" s="18" t="s">
        <v>192</v>
      </c>
      <c r="B7" s="19" t="s">
        <v>220</v>
      </c>
      <c r="C7" s="20" t="s">
        <v>221</v>
      </c>
      <c r="D7" s="21" t="s">
        <v>78</v>
      </c>
      <c r="E7" s="21" t="s">
        <v>222</v>
      </c>
      <c r="F7" s="21" t="s">
        <v>22</v>
      </c>
      <c r="G7" s="23" t="s">
        <v>11</v>
      </c>
      <c r="H7" s="25">
        <v>0</v>
      </c>
      <c r="I7" s="26"/>
      <c r="J7" s="20" t="s">
        <v>223</v>
      </c>
      <c r="K7" s="20" t="s">
        <v>224</v>
      </c>
      <c r="L7" s="24"/>
      <c r="M7" s="24"/>
      <c r="N7" s="26"/>
    </row>
    <row r="8" spans="1:14" x14ac:dyDescent="0.25">
      <c r="A8" s="18" t="s">
        <v>225</v>
      </c>
      <c r="B8" s="19" t="s">
        <v>220</v>
      </c>
      <c r="C8" s="20" t="s">
        <v>226</v>
      </c>
      <c r="D8" s="21" t="s">
        <v>78</v>
      </c>
      <c r="E8" s="21" t="s">
        <v>227</v>
      </c>
      <c r="F8" s="21" t="s">
        <v>22</v>
      </c>
      <c r="G8" s="23" t="s">
        <v>11</v>
      </c>
      <c r="H8" s="25">
        <v>0</v>
      </c>
      <c r="I8" s="26"/>
      <c r="J8" s="20" t="s">
        <v>228</v>
      </c>
      <c r="K8" s="20" t="s">
        <v>1</v>
      </c>
      <c r="L8" s="24"/>
      <c r="M8" s="24"/>
      <c r="N8" s="26"/>
    </row>
    <row r="9" spans="1:14" x14ac:dyDescent="0.25">
      <c r="A9" s="18" t="s">
        <v>81</v>
      </c>
      <c r="B9" s="19" t="s">
        <v>220</v>
      </c>
      <c r="C9" s="20" t="s">
        <v>229</v>
      </c>
      <c r="D9" s="21" t="s">
        <v>78</v>
      </c>
      <c r="E9" s="21" t="s">
        <v>206</v>
      </c>
      <c r="F9" s="21" t="s">
        <v>22</v>
      </c>
      <c r="G9" s="23" t="s">
        <v>11</v>
      </c>
      <c r="H9" s="25">
        <v>0</v>
      </c>
      <c r="I9" s="26"/>
      <c r="J9" s="20" t="s">
        <v>230</v>
      </c>
      <c r="K9" s="20" t="s">
        <v>211</v>
      </c>
      <c r="L9" s="24"/>
      <c r="M9" s="24"/>
      <c r="N9" s="26"/>
    </row>
    <row r="10" spans="1:14" x14ac:dyDescent="0.25">
      <c r="A10" s="18" t="s">
        <v>231</v>
      </c>
      <c r="B10" s="19" t="s">
        <v>220</v>
      </c>
      <c r="C10" s="20" t="s">
        <v>232</v>
      </c>
      <c r="D10" s="21" t="s">
        <v>78</v>
      </c>
      <c r="E10" s="21" t="s">
        <v>222</v>
      </c>
      <c r="F10" s="21" t="s">
        <v>22</v>
      </c>
      <c r="G10" s="23" t="s">
        <v>11</v>
      </c>
      <c r="H10" s="25">
        <v>0</v>
      </c>
      <c r="I10" s="26"/>
      <c r="J10" s="20" t="s">
        <v>233</v>
      </c>
      <c r="K10" s="20" t="s">
        <v>1</v>
      </c>
      <c r="L10" s="24"/>
      <c r="M10" s="24"/>
      <c r="N10" s="26"/>
    </row>
    <row r="11" spans="1:14" x14ac:dyDescent="0.25">
      <c r="A11" s="18" t="s">
        <v>234</v>
      </c>
      <c r="B11" s="19" t="s">
        <v>220</v>
      </c>
      <c r="C11" s="20" t="s">
        <v>235</v>
      </c>
      <c r="D11" s="21" t="s">
        <v>78</v>
      </c>
      <c r="E11" s="21" t="s">
        <v>236</v>
      </c>
      <c r="F11" s="21" t="s">
        <v>22</v>
      </c>
      <c r="G11" s="23" t="s">
        <v>11</v>
      </c>
      <c r="H11" s="25">
        <v>0</v>
      </c>
      <c r="I11" s="26"/>
      <c r="J11" s="20" t="s">
        <v>237</v>
      </c>
      <c r="K11" s="20" t="s">
        <v>224</v>
      </c>
      <c r="L11" s="24"/>
      <c r="M11" s="24"/>
      <c r="N11" s="26"/>
    </row>
    <row r="12" spans="1:14" x14ac:dyDescent="0.25">
      <c r="A12" s="18" t="s">
        <v>238</v>
      </c>
      <c r="B12" s="19" t="s">
        <v>239</v>
      </c>
      <c r="C12" s="20" t="s">
        <v>240</v>
      </c>
      <c r="D12" s="21" t="s">
        <v>78</v>
      </c>
      <c r="E12" s="21" t="s">
        <v>241</v>
      </c>
      <c r="F12" s="21" t="s">
        <v>22</v>
      </c>
      <c r="G12" s="23" t="s">
        <v>11</v>
      </c>
      <c r="H12" s="25">
        <v>0</v>
      </c>
      <c r="I12" s="26"/>
      <c r="J12" s="20" t="s">
        <v>242</v>
      </c>
      <c r="K12" s="20" t="s">
        <v>96</v>
      </c>
      <c r="L12" s="24"/>
      <c r="M12" s="24"/>
      <c r="N12" s="26"/>
    </row>
    <row r="13" spans="1:14" x14ac:dyDescent="0.25">
      <c r="A13" s="18" t="s">
        <v>130</v>
      </c>
      <c r="B13" s="19" t="s">
        <v>239</v>
      </c>
      <c r="C13" s="20" t="s">
        <v>243</v>
      </c>
      <c r="D13" s="21" t="s">
        <v>78</v>
      </c>
      <c r="E13" s="21" t="s">
        <v>241</v>
      </c>
      <c r="F13" s="21" t="s">
        <v>22</v>
      </c>
      <c r="G13" s="23" t="s">
        <v>11</v>
      </c>
      <c r="H13" s="25">
        <v>0</v>
      </c>
      <c r="I13" s="26"/>
      <c r="J13" s="20" t="s">
        <v>244</v>
      </c>
      <c r="K13" s="20" t="s">
        <v>96</v>
      </c>
      <c r="L13" s="24"/>
      <c r="M13" s="24"/>
      <c r="N13" s="26"/>
    </row>
    <row r="14" spans="1:14" x14ac:dyDescent="0.25">
      <c r="A14" s="18" t="s">
        <v>245</v>
      </c>
      <c r="B14" s="19" t="s">
        <v>239</v>
      </c>
      <c r="C14" s="20" t="s">
        <v>246</v>
      </c>
      <c r="D14" s="21" t="s">
        <v>78</v>
      </c>
      <c r="E14" s="21" t="s">
        <v>241</v>
      </c>
      <c r="F14" s="21" t="s">
        <v>22</v>
      </c>
      <c r="G14" s="23" t="s">
        <v>11</v>
      </c>
      <c r="H14" s="25">
        <v>0</v>
      </c>
      <c r="I14" s="26"/>
      <c r="J14" s="20" t="s">
        <v>247</v>
      </c>
      <c r="K14" s="20" t="s">
        <v>96</v>
      </c>
      <c r="L14" s="24"/>
      <c r="M14" s="24"/>
      <c r="N14" s="26"/>
    </row>
    <row r="15" spans="1:14" x14ac:dyDescent="0.25">
      <c r="A15" s="18" t="s">
        <v>248</v>
      </c>
      <c r="B15" s="19" t="s">
        <v>239</v>
      </c>
      <c r="C15" s="20" t="s">
        <v>249</v>
      </c>
      <c r="D15" s="21" t="s">
        <v>78</v>
      </c>
      <c r="E15" s="21" t="s">
        <v>213</v>
      </c>
      <c r="F15" s="21" t="s">
        <v>22</v>
      </c>
      <c r="G15" s="23" t="s">
        <v>11</v>
      </c>
      <c r="H15" s="25">
        <v>0</v>
      </c>
      <c r="I15" s="26"/>
      <c r="J15" s="20" t="s">
        <v>250</v>
      </c>
      <c r="K15" s="20" t="s">
        <v>1</v>
      </c>
      <c r="L15" s="24"/>
      <c r="M15" s="24"/>
      <c r="N15" s="26"/>
    </row>
    <row r="16" spans="1:14" x14ac:dyDescent="0.25">
      <c r="A16" s="18" t="s">
        <v>251</v>
      </c>
      <c r="B16" s="19" t="s">
        <v>239</v>
      </c>
      <c r="C16" s="20" t="s">
        <v>252</v>
      </c>
      <c r="D16" s="21" t="s">
        <v>78</v>
      </c>
      <c r="E16" s="21" t="s">
        <v>213</v>
      </c>
      <c r="F16" s="21" t="s">
        <v>22</v>
      </c>
      <c r="G16" s="23" t="s">
        <v>11</v>
      </c>
      <c r="H16" s="25">
        <v>0</v>
      </c>
      <c r="I16" s="26"/>
      <c r="J16" s="20" t="s">
        <v>253</v>
      </c>
      <c r="K16" s="20" t="s">
        <v>63</v>
      </c>
      <c r="L16" s="24"/>
      <c r="M16" s="24"/>
      <c r="N16" s="26"/>
    </row>
    <row r="17" spans="1:14" x14ac:dyDescent="0.25">
      <c r="A17" s="18" t="s">
        <v>254</v>
      </c>
      <c r="B17" s="19" t="s">
        <v>239</v>
      </c>
      <c r="C17" s="20" t="s">
        <v>255</v>
      </c>
      <c r="D17" s="21" t="s">
        <v>78</v>
      </c>
      <c r="E17" s="21" t="s">
        <v>213</v>
      </c>
      <c r="F17" s="21" t="s">
        <v>22</v>
      </c>
      <c r="G17" s="23" t="s">
        <v>11</v>
      </c>
      <c r="H17" s="25">
        <v>0</v>
      </c>
      <c r="I17" s="26"/>
      <c r="J17" s="20" t="s">
        <v>256</v>
      </c>
      <c r="K17" s="20" t="s">
        <v>96</v>
      </c>
      <c r="L17" s="24"/>
      <c r="M17" s="24"/>
      <c r="N17" s="26"/>
    </row>
    <row r="18" spans="1:14" x14ac:dyDescent="0.25">
      <c r="A18" s="18" t="s">
        <v>257</v>
      </c>
      <c r="B18" s="19" t="s">
        <v>239</v>
      </c>
      <c r="C18" s="20" t="s">
        <v>258</v>
      </c>
      <c r="D18" s="21" t="s">
        <v>78</v>
      </c>
      <c r="E18" s="21" t="s">
        <v>26</v>
      </c>
      <c r="F18" s="21" t="s">
        <v>26</v>
      </c>
      <c r="G18" s="23" t="s">
        <v>11</v>
      </c>
      <c r="H18" s="25">
        <v>0</v>
      </c>
      <c r="I18" s="26"/>
      <c r="J18" s="20" t="s">
        <v>259</v>
      </c>
      <c r="K18" s="20" t="s">
        <v>1</v>
      </c>
      <c r="L18" s="24"/>
      <c r="M18" s="24"/>
      <c r="N18" s="26"/>
    </row>
    <row r="19" spans="1:14" x14ac:dyDescent="0.25">
      <c r="A19" s="18" t="s">
        <v>116</v>
      </c>
      <c r="B19" s="19" t="s">
        <v>239</v>
      </c>
      <c r="C19" s="20" t="s">
        <v>260</v>
      </c>
      <c r="D19" s="21" t="s">
        <v>78</v>
      </c>
      <c r="E19" s="21" t="s">
        <v>241</v>
      </c>
      <c r="F19" s="21" t="s">
        <v>22</v>
      </c>
      <c r="G19" s="23" t="s">
        <v>11</v>
      </c>
      <c r="H19" s="25">
        <v>0</v>
      </c>
      <c r="I19" s="26"/>
      <c r="J19" s="20" t="s">
        <v>261</v>
      </c>
      <c r="K19" s="20" t="s">
        <v>1</v>
      </c>
      <c r="L19" s="24"/>
      <c r="M19" s="24"/>
      <c r="N19" s="26"/>
    </row>
    <row r="20" spans="1:14" x14ac:dyDescent="0.25">
      <c r="A20" s="18" t="s">
        <v>93</v>
      </c>
      <c r="B20" s="19" t="s">
        <v>262</v>
      </c>
      <c r="C20" s="20" t="s">
        <v>263</v>
      </c>
      <c r="D20" s="21" t="s">
        <v>63</v>
      </c>
      <c r="E20" s="21" t="s">
        <v>206</v>
      </c>
      <c r="F20" s="21" t="s">
        <v>22</v>
      </c>
      <c r="G20" s="23" t="s">
        <v>11</v>
      </c>
      <c r="H20" s="25">
        <v>0</v>
      </c>
      <c r="I20" s="26"/>
      <c r="J20" s="20" t="s">
        <v>264</v>
      </c>
      <c r="K20" s="20" t="s">
        <v>265</v>
      </c>
      <c r="L20" s="24"/>
      <c r="M20" s="24"/>
      <c r="N20" s="26"/>
    </row>
    <row r="21" spans="1:14" x14ac:dyDescent="0.25">
      <c r="A21" s="18" t="s">
        <v>160</v>
      </c>
      <c r="B21" s="19" t="s">
        <v>262</v>
      </c>
      <c r="C21" s="20" t="s">
        <v>266</v>
      </c>
      <c r="D21" s="21" t="s">
        <v>63</v>
      </c>
      <c r="E21" s="21" t="s">
        <v>206</v>
      </c>
      <c r="F21" s="21" t="s">
        <v>22</v>
      </c>
      <c r="G21" s="23" t="s">
        <v>11</v>
      </c>
      <c r="H21" s="25">
        <v>0</v>
      </c>
      <c r="I21" s="26"/>
      <c r="J21" s="20" t="s">
        <v>267</v>
      </c>
      <c r="K21" s="20" t="s">
        <v>268</v>
      </c>
      <c r="L21" s="24"/>
      <c r="M21" s="24"/>
      <c r="N21" s="26"/>
    </row>
    <row r="22" spans="1:14" x14ac:dyDescent="0.25">
      <c r="A22" s="18" t="s">
        <v>269</v>
      </c>
      <c r="B22" s="19" t="s">
        <v>262</v>
      </c>
      <c r="C22" s="20" t="s">
        <v>270</v>
      </c>
      <c r="D22" s="21" t="s">
        <v>63</v>
      </c>
      <c r="E22" s="21" t="s">
        <v>206</v>
      </c>
      <c r="F22" s="21" t="s">
        <v>22</v>
      </c>
      <c r="G22" s="23" t="s">
        <v>11</v>
      </c>
      <c r="H22" s="25">
        <v>0</v>
      </c>
      <c r="I22" s="26"/>
      <c r="J22" s="20" t="s">
        <v>271</v>
      </c>
      <c r="K22" s="20" t="s">
        <v>1</v>
      </c>
      <c r="L22" s="24"/>
      <c r="M22" s="24"/>
      <c r="N22" s="26"/>
    </row>
    <row r="23" spans="1:14" x14ac:dyDescent="0.25">
      <c r="A23" s="18" t="s">
        <v>272</v>
      </c>
      <c r="B23" s="19" t="s">
        <v>262</v>
      </c>
      <c r="C23" s="20" t="s">
        <v>273</v>
      </c>
      <c r="D23" s="21" t="s">
        <v>63</v>
      </c>
      <c r="E23" s="21" t="s">
        <v>241</v>
      </c>
      <c r="F23" s="21" t="s">
        <v>22</v>
      </c>
      <c r="G23" s="23" t="s">
        <v>11</v>
      </c>
      <c r="H23" s="25">
        <v>0</v>
      </c>
      <c r="I23" s="26"/>
      <c r="J23" s="20" t="s">
        <v>274</v>
      </c>
      <c r="K23" s="20" t="s">
        <v>1</v>
      </c>
      <c r="L23" s="24"/>
      <c r="M23" s="24"/>
      <c r="N23" s="26"/>
    </row>
    <row r="24" spans="1:14" x14ac:dyDescent="0.25">
      <c r="A24" s="18" t="s">
        <v>275</v>
      </c>
      <c r="B24" s="19" t="s">
        <v>262</v>
      </c>
      <c r="C24" s="20" t="s">
        <v>276</v>
      </c>
      <c r="D24" s="21" t="s">
        <v>63</v>
      </c>
      <c r="E24" s="21" t="s">
        <v>241</v>
      </c>
      <c r="F24" s="21" t="s">
        <v>22</v>
      </c>
      <c r="G24" s="23" t="s">
        <v>11</v>
      </c>
      <c r="H24" s="25">
        <v>0</v>
      </c>
      <c r="I24" s="26"/>
      <c r="J24" s="20" t="s">
        <v>277</v>
      </c>
      <c r="K24" s="20" t="s">
        <v>278</v>
      </c>
      <c r="L24" s="24"/>
      <c r="M24" s="24"/>
      <c r="N24" s="26"/>
    </row>
    <row r="25" spans="1:14" x14ac:dyDescent="0.25">
      <c r="A25" s="18" t="s">
        <v>279</v>
      </c>
      <c r="B25" s="19" t="s">
        <v>262</v>
      </c>
      <c r="C25" s="20" t="s">
        <v>280</v>
      </c>
      <c r="D25" s="21" t="s">
        <v>63</v>
      </c>
      <c r="E25" s="21" t="s">
        <v>281</v>
      </c>
      <c r="F25" s="21" t="s">
        <v>22</v>
      </c>
      <c r="G25" s="23" t="s">
        <v>11</v>
      </c>
      <c r="H25" s="25">
        <v>0</v>
      </c>
      <c r="I25" s="26"/>
      <c r="J25" s="20" t="s">
        <v>282</v>
      </c>
      <c r="K25" s="20" t="s">
        <v>1</v>
      </c>
      <c r="L25" s="24"/>
      <c r="M25" s="24"/>
      <c r="N25" s="26"/>
    </row>
    <row r="26" spans="1:14" x14ac:dyDescent="0.25">
      <c r="A26" s="18" t="s">
        <v>283</v>
      </c>
      <c r="B26" s="19" t="s">
        <v>262</v>
      </c>
      <c r="C26" s="20" t="s">
        <v>284</v>
      </c>
      <c r="D26" s="21" t="s">
        <v>63</v>
      </c>
      <c r="E26" s="21" t="s">
        <v>213</v>
      </c>
      <c r="F26" s="21" t="s">
        <v>22</v>
      </c>
      <c r="G26" s="23" t="s">
        <v>11</v>
      </c>
      <c r="H26" s="25">
        <v>0</v>
      </c>
      <c r="I26" s="26"/>
      <c r="J26" s="20" t="s">
        <v>285</v>
      </c>
      <c r="K26" s="20" t="s">
        <v>1</v>
      </c>
      <c r="L26" s="24"/>
      <c r="M26" s="24"/>
      <c r="N26" s="26"/>
    </row>
    <row r="27" spans="1:14" x14ac:dyDescent="0.25">
      <c r="A27" s="18" t="s">
        <v>66</v>
      </c>
      <c r="B27" s="19" t="s">
        <v>262</v>
      </c>
      <c r="C27" s="20" t="s">
        <v>286</v>
      </c>
      <c r="D27" s="21" t="s">
        <v>63</v>
      </c>
      <c r="E27" s="21" t="s">
        <v>287</v>
      </c>
      <c r="F27" s="21" t="s">
        <v>22</v>
      </c>
      <c r="G27" s="23" t="s">
        <v>11</v>
      </c>
      <c r="H27" s="25">
        <v>0</v>
      </c>
      <c r="I27" s="26"/>
      <c r="J27" s="20" t="s">
        <v>288</v>
      </c>
      <c r="K27" s="20" t="s">
        <v>289</v>
      </c>
      <c r="L27" s="24"/>
      <c r="M27" s="24"/>
      <c r="N27" s="26"/>
    </row>
    <row r="28" spans="1:14" x14ac:dyDescent="0.25">
      <c r="A28" s="18" t="s">
        <v>290</v>
      </c>
      <c r="B28" s="19" t="s">
        <v>262</v>
      </c>
      <c r="C28" s="20" t="s">
        <v>291</v>
      </c>
      <c r="D28" s="21" t="s">
        <v>63</v>
      </c>
      <c r="E28" s="21" t="s">
        <v>26</v>
      </c>
      <c r="F28" s="21" t="s">
        <v>26</v>
      </c>
      <c r="G28" s="23" t="s">
        <v>11</v>
      </c>
      <c r="H28" s="25">
        <v>0</v>
      </c>
      <c r="I28" s="26"/>
      <c r="J28" s="20" t="s">
        <v>292</v>
      </c>
      <c r="K28" s="20" t="s">
        <v>293</v>
      </c>
      <c r="L28" s="24"/>
      <c r="M28" s="24"/>
      <c r="N28" s="26"/>
    </row>
    <row r="29" spans="1:14" x14ac:dyDescent="0.25">
      <c r="A29" s="18" t="s">
        <v>56</v>
      </c>
      <c r="B29" s="19" t="s">
        <v>294</v>
      </c>
      <c r="C29" s="20" t="s">
        <v>295</v>
      </c>
      <c r="D29" s="21" t="s">
        <v>53</v>
      </c>
      <c r="E29" s="21" t="s">
        <v>206</v>
      </c>
      <c r="F29" s="21" t="s">
        <v>22</v>
      </c>
      <c r="G29" s="23" t="s">
        <v>11</v>
      </c>
      <c r="H29" s="25">
        <v>0</v>
      </c>
      <c r="I29" s="26"/>
      <c r="J29" s="20" t="s">
        <v>296</v>
      </c>
      <c r="K29" s="20" t="s">
        <v>1</v>
      </c>
      <c r="L29" s="24"/>
      <c r="M29" s="24"/>
      <c r="N29" s="26"/>
    </row>
    <row r="30" spans="1:14" x14ac:dyDescent="0.25">
      <c r="A30" s="18" t="s">
        <v>75</v>
      </c>
      <c r="B30" s="19" t="s">
        <v>294</v>
      </c>
      <c r="C30" s="20" t="s">
        <v>297</v>
      </c>
      <c r="D30" s="21" t="s">
        <v>53</v>
      </c>
      <c r="E30" s="21" t="s">
        <v>206</v>
      </c>
      <c r="F30" s="21" t="s">
        <v>22</v>
      </c>
      <c r="G30" s="23" t="s">
        <v>11</v>
      </c>
      <c r="H30" s="25">
        <v>0</v>
      </c>
      <c r="I30" s="26"/>
      <c r="J30" s="20" t="s">
        <v>298</v>
      </c>
      <c r="K30" s="20" t="s">
        <v>1</v>
      </c>
      <c r="L30" s="24"/>
      <c r="M30" s="24"/>
      <c r="N30" s="26"/>
    </row>
    <row r="31" spans="1:14" x14ac:dyDescent="0.25">
      <c r="A31" s="18" t="s">
        <v>109</v>
      </c>
      <c r="B31" s="19" t="s">
        <v>294</v>
      </c>
      <c r="C31" s="20" t="s">
        <v>299</v>
      </c>
      <c r="D31" s="21" t="s">
        <v>53</v>
      </c>
      <c r="E31" s="21" t="s">
        <v>287</v>
      </c>
      <c r="F31" s="21" t="s">
        <v>22</v>
      </c>
      <c r="G31" s="23" t="s">
        <v>11</v>
      </c>
      <c r="H31" s="25">
        <v>0</v>
      </c>
      <c r="I31" s="26"/>
      <c r="J31" s="20" t="s">
        <v>300</v>
      </c>
      <c r="K31" s="20" t="s">
        <v>301</v>
      </c>
      <c r="L31" s="24"/>
      <c r="M31" s="24"/>
      <c r="N31" s="26"/>
    </row>
    <row r="32" spans="1:14" x14ac:dyDescent="0.25">
      <c r="A32" s="18" t="s">
        <v>302</v>
      </c>
      <c r="B32" s="19" t="s">
        <v>294</v>
      </c>
      <c r="C32" s="20" t="s">
        <v>303</v>
      </c>
      <c r="D32" s="21" t="s">
        <v>53</v>
      </c>
      <c r="E32" s="21" t="s">
        <v>241</v>
      </c>
      <c r="F32" s="21" t="s">
        <v>22</v>
      </c>
      <c r="G32" s="23" t="s">
        <v>11</v>
      </c>
      <c r="H32" s="25">
        <v>0</v>
      </c>
      <c r="I32" s="26"/>
      <c r="J32" s="20" t="s">
        <v>304</v>
      </c>
      <c r="K32" s="20" t="s">
        <v>268</v>
      </c>
      <c r="L32" s="24"/>
      <c r="M32" s="24"/>
      <c r="N32" s="26"/>
    </row>
    <row r="33" spans="1:14" x14ac:dyDescent="0.25">
      <c r="A33" s="18" t="s">
        <v>305</v>
      </c>
      <c r="B33" s="19" t="s">
        <v>294</v>
      </c>
      <c r="C33" s="20" t="s">
        <v>306</v>
      </c>
      <c r="D33" s="21" t="s">
        <v>53</v>
      </c>
      <c r="E33" s="21" t="s">
        <v>241</v>
      </c>
      <c r="F33" s="21" t="s">
        <v>22</v>
      </c>
      <c r="G33" s="23" t="s">
        <v>11</v>
      </c>
      <c r="H33" s="25">
        <v>0</v>
      </c>
      <c r="I33" s="26"/>
      <c r="J33" s="20" t="s">
        <v>307</v>
      </c>
      <c r="K33" s="20" t="s">
        <v>308</v>
      </c>
      <c r="L33" s="24"/>
      <c r="M33" s="24"/>
      <c r="N33" s="26"/>
    </row>
    <row r="34" spans="1:14" x14ac:dyDescent="0.25">
      <c r="A34" s="18" t="s">
        <v>309</v>
      </c>
      <c r="B34" s="19" t="s">
        <v>294</v>
      </c>
      <c r="C34" s="20" t="s">
        <v>310</v>
      </c>
      <c r="D34" s="21" t="s">
        <v>53</v>
      </c>
      <c r="E34" s="21" t="s">
        <v>241</v>
      </c>
      <c r="F34" s="21" t="s">
        <v>22</v>
      </c>
      <c r="G34" s="23" t="s">
        <v>11</v>
      </c>
      <c r="H34" s="25">
        <v>0</v>
      </c>
      <c r="I34" s="26"/>
      <c r="J34" s="20" t="s">
        <v>311</v>
      </c>
      <c r="K34" s="20" t="s">
        <v>1</v>
      </c>
      <c r="L34" s="24"/>
      <c r="M34" s="24"/>
      <c r="N34" s="26"/>
    </row>
    <row r="35" spans="1:14" x14ac:dyDescent="0.25">
      <c r="A35" s="18" t="s">
        <v>312</v>
      </c>
      <c r="B35" s="19" t="s">
        <v>294</v>
      </c>
      <c r="C35" s="20" t="s">
        <v>313</v>
      </c>
      <c r="D35" s="21" t="s">
        <v>53</v>
      </c>
      <c r="E35" s="21" t="s">
        <v>213</v>
      </c>
      <c r="F35" s="21" t="s">
        <v>24</v>
      </c>
      <c r="G35" s="23" t="s">
        <v>11</v>
      </c>
      <c r="H35" s="25">
        <v>0</v>
      </c>
      <c r="I35" s="26"/>
      <c r="J35" s="20" t="s">
        <v>314</v>
      </c>
      <c r="K35" s="20" t="s">
        <v>63</v>
      </c>
      <c r="L35" s="24"/>
      <c r="M35" s="24"/>
      <c r="N35" s="26"/>
    </row>
    <row r="36" spans="1:14" x14ac:dyDescent="0.25">
      <c r="A36" s="18" t="s">
        <v>315</v>
      </c>
      <c r="B36" s="19" t="s">
        <v>294</v>
      </c>
      <c r="C36" s="20" t="s">
        <v>316</v>
      </c>
      <c r="D36" s="21" t="s">
        <v>53</v>
      </c>
      <c r="E36" s="21" t="s">
        <v>213</v>
      </c>
      <c r="F36" s="21" t="s">
        <v>24</v>
      </c>
      <c r="G36" s="23" t="s">
        <v>11</v>
      </c>
      <c r="H36" s="25">
        <v>0</v>
      </c>
      <c r="I36" s="26"/>
      <c r="J36" s="20" t="s">
        <v>317</v>
      </c>
      <c r="K36" s="20" t="s">
        <v>1</v>
      </c>
      <c r="L36" s="24"/>
      <c r="M36" s="24"/>
      <c r="N36" s="26"/>
    </row>
    <row r="37" spans="1:14" x14ac:dyDescent="0.25">
      <c r="A37" s="18" t="s">
        <v>318</v>
      </c>
      <c r="B37" s="19" t="s">
        <v>294</v>
      </c>
      <c r="C37" s="20" t="s">
        <v>319</v>
      </c>
      <c r="D37" s="21" t="s">
        <v>53</v>
      </c>
      <c r="E37" s="21" t="s">
        <v>26</v>
      </c>
      <c r="F37" s="21" t="s">
        <v>26</v>
      </c>
      <c r="G37" s="23" t="s">
        <v>11</v>
      </c>
      <c r="H37" s="25">
        <v>0</v>
      </c>
      <c r="I37" s="26"/>
      <c r="J37" s="20" t="s">
        <v>320</v>
      </c>
      <c r="K37" s="20" t="s">
        <v>1</v>
      </c>
      <c r="L37" s="24"/>
      <c r="M37" s="24"/>
      <c r="N37" s="26"/>
    </row>
    <row r="38" spans="1:14" x14ac:dyDescent="0.25">
      <c r="A38" s="18" t="s">
        <v>141</v>
      </c>
      <c r="B38" s="19" t="s">
        <v>321</v>
      </c>
      <c r="C38" s="20" t="s">
        <v>322</v>
      </c>
      <c r="D38" s="21" t="s">
        <v>96</v>
      </c>
      <c r="E38" s="21" t="s">
        <v>206</v>
      </c>
      <c r="F38" s="21" t="s">
        <v>22</v>
      </c>
      <c r="G38" s="23" t="s">
        <v>11</v>
      </c>
      <c r="H38" s="25">
        <v>0</v>
      </c>
      <c r="I38" s="26"/>
      <c r="J38" s="20" t="s">
        <v>323</v>
      </c>
      <c r="K38" s="20" t="s">
        <v>324</v>
      </c>
      <c r="L38" s="24"/>
      <c r="M38" s="24"/>
      <c r="N38" s="26"/>
    </row>
    <row r="39" spans="1:14" x14ac:dyDescent="0.25">
      <c r="A39" s="18" t="s">
        <v>146</v>
      </c>
      <c r="B39" s="19" t="s">
        <v>321</v>
      </c>
      <c r="C39" s="20" t="s">
        <v>143</v>
      </c>
      <c r="D39" s="21" t="s">
        <v>96</v>
      </c>
      <c r="E39" s="21" t="s">
        <v>206</v>
      </c>
      <c r="F39" s="21" t="s">
        <v>22</v>
      </c>
      <c r="G39" s="23" t="s">
        <v>11</v>
      </c>
      <c r="H39" s="25">
        <v>0</v>
      </c>
      <c r="I39" s="26"/>
      <c r="J39" s="20" t="s">
        <v>325</v>
      </c>
      <c r="K39" s="20" t="s">
        <v>1</v>
      </c>
      <c r="L39" s="24"/>
      <c r="M39" s="24"/>
      <c r="N39" s="26"/>
    </row>
    <row r="40" spans="1:14" x14ac:dyDescent="0.25">
      <c r="A40" s="18" t="s">
        <v>151</v>
      </c>
      <c r="B40" s="19" t="s">
        <v>321</v>
      </c>
      <c r="C40" s="20" t="s">
        <v>326</v>
      </c>
      <c r="D40" s="21" t="s">
        <v>96</v>
      </c>
      <c r="E40" s="21" t="s">
        <v>287</v>
      </c>
      <c r="F40" s="21" t="s">
        <v>22</v>
      </c>
      <c r="G40" s="23" t="s">
        <v>11</v>
      </c>
      <c r="H40" s="25">
        <v>0</v>
      </c>
      <c r="I40" s="26"/>
      <c r="J40" s="20" t="s">
        <v>327</v>
      </c>
      <c r="K40" s="20" t="s">
        <v>1</v>
      </c>
      <c r="L40" s="24"/>
      <c r="M40" s="24"/>
      <c r="N40" s="26"/>
    </row>
    <row r="41" spans="1:14" x14ac:dyDescent="0.25">
      <c r="A41" s="18" t="s">
        <v>328</v>
      </c>
      <c r="B41" s="19" t="s">
        <v>321</v>
      </c>
      <c r="C41" s="20" t="s">
        <v>329</v>
      </c>
      <c r="D41" s="21" t="s">
        <v>96</v>
      </c>
      <c r="E41" s="21" t="s">
        <v>241</v>
      </c>
      <c r="F41" s="21" t="s">
        <v>22</v>
      </c>
      <c r="G41" s="23" t="s">
        <v>11</v>
      </c>
      <c r="H41" s="25">
        <v>0</v>
      </c>
      <c r="I41" s="26"/>
      <c r="J41" s="20" t="s">
        <v>330</v>
      </c>
      <c r="K41" s="20" t="s">
        <v>1</v>
      </c>
      <c r="L41" s="24"/>
      <c r="M41" s="24"/>
      <c r="N41" s="26"/>
    </row>
    <row r="42" spans="1:14" x14ac:dyDescent="0.25">
      <c r="A42" s="18" t="s">
        <v>99</v>
      </c>
      <c r="B42" s="19" t="s">
        <v>321</v>
      </c>
      <c r="C42" s="20" t="s">
        <v>331</v>
      </c>
      <c r="D42" s="21" t="s">
        <v>96</v>
      </c>
      <c r="E42" s="21" t="s">
        <v>241</v>
      </c>
      <c r="F42" s="21" t="s">
        <v>22</v>
      </c>
      <c r="G42" s="23" t="s">
        <v>11</v>
      </c>
      <c r="H42" s="25">
        <v>0</v>
      </c>
      <c r="I42" s="26"/>
      <c r="J42" s="20" t="s">
        <v>332</v>
      </c>
      <c r="K42" s="20" t="s">
        <v>1</v>
      </c>
      <c r="L42" s="24"/>
      <c r="M42" s="24"/>
      <c r="N42" s="26"/>
    </row>
    <row r="43" spans="1:14" x14ac:dyDescent="0.25">
      <c r="A43" s="18" t="s">
        <v>333</v>
      </c>
      <c r="B43" s="19" t="s">
        <v>321</v>
      </c>
      <c r="C43" s="20" t="s">
        <v>334</v>
      </c>
      <c r="D43" s="21" t="s">
        <v>96</v>
      </c>
      <c r="E43" s="21" t="s">
        <v>241</v>
      </c>
      <c r="F43" s="21" t="s">
        <v>22</v>
      </c>
      <c r="G43" s="23" t="s">
        <v>11</v>
      </c>
      <c r="H43" s="25">
        <v>0</v>
      </c>
      <c r="I43" s="26"/>
      <c r="J43" s="20" t="s">
        <v>335</v>
      </c>
      <c r="K43" s="20" t="s">
        <v>1</v>
      </c>
      <c r="L43" s="24"/>
      <c r="M43" s="24"/>
      <c r="N43" s="26"/>
    </row>
    <row r="44" spans="1:14" x14ac:dyDescent="0.25">
      <c r="A44" s="18" t="s">
        <v>336</v>
      </c>
      <c r="B44" s="19" t="s">
        <v>321</v>
      </c>
      <c r="C44" s="20" t="s">
        <v>337</v>
      </c>
      <c r="D44" s="21" t="s">
        <v>96</v>
      </c>
      <c r="E44" s="21" t="s">
        <v>241</v>
      </c>
      <c r="F44" s="21" t="s">
        <v>22</v>
      </c>
      <c r="G44" s="23" t="s">
        <v>11</v>
      </c>
      <c r="H44" s="25">
        <v>0</v>
      </c>
      <c r="I44" s="26"/>
      <c r="J44" s="20" t="s">
        <v>338</v>
      </c>
      <c r="K44" s="20" t="s">
        <v>324</v>
      </c>
      <c r="L44" s="24"/>
      <c r="M44" s="24"/>
      <c r="N44" s="26"/>
    </row>
    <row r="45" spans="1:14" x14ac:dyDescent="0.25">
      <c r="A45" s="18" t="s">
        <v>170</v>
      </c>
      <c r="B45" s="19" t="s">
        <v>321</v>
      </c>
      <c r="C45" s="20" t="s">
        <v>339</v>
      </c>
      <c r="D45" s="21" t="s">
        <v>96</v>
      </c>
      <c r="E45" s="21" t="s">
        <v>340</v>
      </c>
      <c r="F45" s="21" t="s">
        <v>22</v>
      </c>
      <c r="G45" s="23" t="s">
        <v>11</v>
      </c>
      <c r="H45" s="25">
        <v>0</v>
      </c>
      <c r="I45" s="26"/>
      <c r="J45" s="20" t="s">
        <v>341</v>
      </c>
      <c r="K45" s="20" t="s">
        <v>1</v>
      </c>
      <c r="L45" s="24"/>
      <c r="M45" s="24"/>
      <c r="N45" s="26"/>
    </row>
    <row r="46" spans="1:14" x14ac:dyDescent="0.25">
      <c r="A46" s="18" t="s">
        <v>165</v>
      </c>
      <c r="B46" s="19" t="s">
        <v>321</v>
      </c>
      <c r="C46" s="20" t="s">
        <v>342</v>
      </c>
      <c r="D46" s="21" t="s">
        <v>96</v>
      </c>
      <c r="E46" s="21" t="s">
        <v>241</v>
      </c>
      <c r="F46" s="21" t="s">
        <v>22</v>
      </c>
      <c r="G46" s="23" t="s">
        <v>11</v>
      </c>
      <c r="H46" s="25">
        <v>0</v>
      </c>
      <c r="I46" s="26"/>
      <c r="J46" s="20" t="s">
        <v>343</v>
      </c>
      <c r="K46" s="20" t="s">
        <v>1</v>
      </c>
      <c r="L46" s="24"/>
      <c r="M46" s="24"/>
      <c r="N46" s="26"/>
    </row>
    <row r="47" spans="4:14" x14ac:dyDescent="0.25"/>
    <row r="48" spans="4:14" x14ac:dyDescent="0.25"/>
    <row r="49" spans="4:14" x14ac:dyDescent="0.25"/>
    <row r="50" spans="4:14" x14ac:dyDescent="0.25"/>
    <row r="51" spans="4:14" x14ac:dyDescent="0.25"/>
    <row r="52" spans="4:14" x14ac:dyDescent="0.25"/>
    <row r="53" spans="4:14" x14ac:dyDescent="0.25"/>
    <row r="54" spans="4:14" x14ac:dyDescent="0.25"/>
    <row r="55" spans="4:14" x14ac:dyDescent="0.25"/>
    <row r="56" spans="4:14" x14ac:dyDescent="0.25"/>
    <row r="57" spans="4:14" x14ac:dyDescent="0.25"/>
    <row r="58" spans="4:14" x14ac:dyDescent="0.25"/>
    <row r="59" spans="4:14" x14ac:dyDescent="0.25"/>
    <row r="60" spans="4:14" x14ac:dyDescent="0.25"/>
    <row r="61" spans="4:14" x14ac:dyDescent="0.25"/>
    <row r="62" spans="4:14" x14ac:dyDescent="0.25"/>
    <row r="63" spans="4:14" x14ac:dyDescent="0.25"/>
    <row r="64" spans="4:14" x14ac:dyDescent="0.25"/>
    <row r="65" spans="4:14" x14ac:dyDescent="0.25"/>
    <row r="66" spans="4:14" x14ac:dyDescent="0.25"/>
    <row r="67" spans="4:14" x14ac:dyDescent="0.25"/>
    <row r="68" spans="4:14" x14ac:dyDescent="0.25"/>
    <row r="69" spans="4:14" x14ac:dyDescent="0.25"/>
    <row r="70" spans="4:14" x14ac:dyDescent="0.25"/>
    <row r="71" spans="4:14" x14ac:dyDescent="0.25"/>
    <row r="72" spans="4:14" x14ac:dyDescent="0.25"/>
    <row r="73" spans="4:14" x14ac:dyDescent="0.25"/>
    <row r="74" spans="4:14" x14ac:dyDescent="0.25"/>
    <row r="75" spans="4:14" x14ac:dyDescent="0.25"/>
    <row r="76" spans="4:14" x14ac:dyDescent="0.25"/>
    <row r="77" spans="4:14" x14ac:dyDescent="0.25"/>
    <row r="78" spans="4:14" x14ac:dyDescent="0.25"/>
    <row r="79" spans="4:14" x14ac:dyDescent="0.25"/>
    <row r="80" spans="4:14" x14ac:dyDescent="0.25"/>
    <row r="81" spans="4:14" x14ac:dyDescent="0.25"/>
    <row r="82" spans="4:14" x14ac:dyDescent="0.25"/>
    <row r="83" spans="4:14" x14ac:dyDescent="0.25"/>
    <row r="84" spans="4:14" x14ac:dyDescent="0.25"/>
    <row r="85" spans="4:14" x14ac:dyDescent="0.25"/>
    <row r="86" spans="4:14" x14ac:dyDescent="0.25"/>
    <row r="87" spans="4:14" x14ac:dyDescent="0.25"/>
    <row r="88" spans="4:14" x14ac:dyDescent="0.25"/>
    <row r="89" spans="4:14" x14ac:dyDescent="0.25"/>
    <row r="90" spans="4:14" x14ac:dyDescent="0.25"/>
    <row r="91" spans="4:14" x14ac:dyDescent="0.25"/>
    <row r="92" spans="4:14" x14ac:dyDescent="0.25"/>
    <row r="93" spans="4:14" x14ac:dyDescent="0.25"/>
    <row r="94" spans="4:14" x14ac:dyDescent="0.25"/>
    <row r="95" spans="4:14" x14ac:dyDescent="0.25"/>
    <row r="96" spans="4:14" x14ac:dyDescent="0.25"/>
    <row r="97" spans="4:14" x14ac:dyDescent="0.25"/>
    <row r="98" spans="4:14" x14ac:dyDescent="0.25"/>
    <row r="99" spans="4:14" x14ac:dyDescent="0.25"/>
    <row r="100" spans="4:14" x14ac:dyDescent="0.25"/>
    <row r="101" spans="4:14" x14ac:dyDescent="0.25"/>
    <row r="102" spans="4:14" x14ac:dyDescent="0.25"/>
    <row r="103" spans="4:14" x14ac:dyDescent="0.25"/>
    <row r="104" spans="4:14" x14ac:dyDescent="0.25"/>
    <row r="105" spans="4:14" x14ac:dyDescent="0.25"/>
    <row r="106" spans="4:14" x14ac:dyDescent="0.25"/>
    <row r="107" spans="4:14" x14ac:dyDescent="0.25"/>
    <row r="108" spans="4:14" x14ac:dyDescent="0.25"/>
    <row r="109" spans="4:14" x14ac:dyDescent="0.25"/>
    <row r="110" spans="4:14" x14ac:dyDescent="0.25"/>
    <row r="111" spans="4:14" x14ac:dyDescent="0.25"/>
    <row r="112" spans="4:14" x14ac:dyDescent="0.25"/>
    <row r="113" spans="4:14" x14ac:dyDescent="0.25"/>
    <row r="114" spans="4:14" x14ac:dyDescent="0.25"/>
    <row r="115" spans="4:14" x14ac:dyDescent="0.25"/>
    <row r="116" spans="4:14" x14ac:dyDescent="0.25"/>
    <row r="117" spans="4:14" x14ac:dyDescent="0.25"/>
    <row r="118" spans="4:14" x14ac:dyDescent="0.25"/>
    <row r="119" spans="4:14" x14ac:dyDescent="0.25"/>
    <row r="120" spans="4:14" x14ac:dyDescent="0.25"/>
    <row r="121" spans="4:14" x14ac:dyDescent="0.25"/>
    <row r="122" spans="4:14" x14ac:dyDescent="0.25"/>
    <row r="123" spans="4:14" x14ac:dyDescent="0.25"/>
    <row r="124" spans="4:14" x14ac:dyDescent="0.25"/>
    <row r="125" spans="4:14" x14ac:dyDescent="0.25"/>
    <row r="126" spans="4:14" x14ac:dyDescent="0.25"/>
    <row r="127" spans="4:14" x14ac:dyDescent="0.25"/>
    <row r="128" spans="4:14" x14ac:dyDescent="0.25"/>
    <row r="129" spans="4:14" x14ac:dyDescent="0.25"/>
    <row r="130" spans="4:14" x14ac:dyDescent="0.25"/>
    <row r="131" spans="4:14" x14ac:dyDescent="0.25"/>
    <row r="132" spans="4:14" x14ac:dyDescent="0.25"/>
    <row r="133" spans="4:14" x14ac:dyDescent="0.25"/>
    <row r="134" spans="4:14" x14ac:dyDescent="0.25"/>
    <row r="135" spans="4:14" x14ac:dyDescent="0.25"/>
    <row r="136" spans="4:14" x14ac:dyDescent="0.25"/>
    <row r="137" spans="4:14" x14ac:dyDescent="0.25"/>
    <row r="138" spans="4:14" x14ac:dyDescent="0.25"/>
    <row r="139" spans="4:14" x14ac:dyDescent="0.25"/>
    <row r="140" spans="4:14" x14ac:dyDescent="0.25"/>
    <row r="141" spans="4:14" x14ac:dyDescent="0.25"/>
    <row r="142" spans="4:14" x14ac:dyDescent="0.25"/>
    <row r="143" spans="4:14" x14ac:dyDescent="0.25"/>
    <row r="144" spans="4:14" x14ac:dyDescent="0.25"/>
    <row r="145" spans="4:14" x14ac:dyDescent="0.25"/>
    <row r="146" spans="4:14" x14ac:dyDescent="0.25"/>
    <row r="147" spans="4:14" x14ac:dyDescent="0.25"/>
    <row r="148" spans="4:14" x14ac:dyDescent="0.25"/>
    <row r="149" spans="4:14" x14ac:dyDescent="0.25"/>
    <row r="150" spans="4:14" x14ac:dyDescent="0.25"/>
    <row r="151" spans="4:14" x14ac:dyDescent="0.25"/>
    <row r="152" spans="4:14" x14ac:dyDescent="0.25"/>
    <row r="153" spans="4:14" x14ac:dyDescent="0.25"/>
    <row r="154" spans="4:14" x14ac:dyDescent="0.25"/>
    <row r="155" spans="4:14" x14ac:dyDescent="0.25"/>
    <row r="156" spans="4:14" x14ac:dyDescent="0.25"/>
    <row r="157" spans="4:14" x14ac:dyDescent="0.25"/>
    <row r="158" spans="4:14" x14ac:dyDescent="0.25"/>
    <row r="159" spans="4:14" x14ac:dyDescent="0.25"/>
    <row r="160" spans="4:14" x14ac:dyDescent="0.25"/>
    <row r="161" spans="4:14" x14ac:dyDescent="0.25"/>
    <row r="162" spans="4:14" x14ac:dyDescent="0.25"/>
    <row r="163" spans="4:14" x14ac:dyDescent="0.25"/>
    <row r="164" spans="4:14" x14ac:dyDescent="0.25"/>
    <row r="165" spans="4:14" x14ac:dyDescent="0.25"/>
    <row r="166" spans="4:14" x14ac:dyDescent="0.25"/>
    <row r="167" spans="4:14" x14ac:dyDescent="0.25"/>
    <row r="168" spans="4:14" x14ac:dyDescent="0.25"/>
    <row r="169" spans="4:14" x14ac:dyDescent="0.25"/>
    <row r="170" spans="4:14" x14ac:dyDescent="0.25"/>
    <row r="171" spans="4:14" x14ac:dyDescent="0.25"/>
    <row r="172" spans="4:14" x14ac:dyDescent="0.25"/>
    <row r="173" spans="4:14" x14ac:dyDescent="0.25"/>
    <row r="174" spans="4:14" x14ac:dyDescent="0.25"/>
    <row r="175" spans="4:14" x14ac:dyDescent="0.25"/>
    <row r="176" spans="4:14" x14ac:dyDescent="0.25"/>
    <row r="177" spans="4:14" x14ac:dyDescent="0.25"/>
    <row r="178" spans="4:14" x14ac:dyDescent="0.25"/>
    <row r="179" spans="4:14" x14ac:dyDescent="0.25"/>
    <row r="180" spans="4:14" x14ac:dyDescent="0.25"/>
    <row r="181" spans="4:14" x14ac:dyDescent="0.25"/>
    <row r="182" spans="4:14" x14ac:dyDescent="0.25"/>
    <row r="183" spans="4:14" x14ac:dyDescent="0.25"/>
    <row r="184" spans="4:14" x14ac:dyDescent="0.25"/>
    <row r="185" spans="4:14" x14ac:dyDescent="0.25"/>
    <row r="186" spans="4:14" x14ac:dyDescent="0.25"/>
    <row r="187" spans="4:14" x14ac:dyDescent="0.25"/>
    <row r="188" spans="4:14" x14ac:dyDescent="0.25"/>
    <row r="189" spans="4:14" x14ac:dyDescent="0.25"/>
    <row r="190" spans="4:14" x14ac:dyDescent="0.25"/>
    <row r="191" spans="4:14" x14ac:dyDescent="0.25"/>
    <row r="192" spans="4:14" x14ac:dyDescent="0.25"/>
    <row r="193" spans="4:14" x14ac:dyDescent="0.25"/>
    <row r="194" spans="4:14" x14ac:dyDescent="0.25"/>
    <row r="195" spans="4:14" x14ac:dyDescent="0.25"/>
    <row r="196" spans="4:14" x14ac:dyDescent="0.25"/>
    <row r="197" spans="4:14" x14ac:dyDescent="0.25"/>
    <row r="198" spans="4:14" x14ac:dyDescent="0.25"/>
    <row r="199" spans="4:14" x14ac:dyDescent="0.25"/>
    <row r="200" spans="4:14" x14ac:dyDescent="0.25"/>
    <row r="201" spans="4:14" x14ac:dyDescent="0.25"/>
    <row r="202" spans="4:14" x14ac:dyDescent="0.25"/>
    <row r="203" spans="4:14" x14ac:dyDescent="0.25"/>
    <row r="204" spans="4:14" x14ac:dyDescent="0.25"/>
    <row r="205" spans="4:14" x14ac:dyDescent="0.25"/>
    <row r="206" spans="4:14" x14ac:dyDescent="0.25"/>
    <row r="207" spans="4:14" x14ac:dyDescent="0.25"/>
    <row r="208" spans="4:14" x14ac:dyDescent="0.25"/>
    <row r="209" spans="4:14" x14ac:dyDescent="0.25"/>
    <row r="210" spans="4:14" x14ac:dyDescent="0.25"/>
    <row r="211" spans="4:14" x14ac:dyDescent="0.25"/>
    <row r="212" spans="4:14" x14ac:dyDescent="0.25"/>
    <row r="213" spans="4:14" x14ac:dyDescent="0.25"/>
    <row r="214" spans="4:14" x14ac:dyDescent="0.25"/>
    <row r="215" spans="4:14" x14ac:dyDescent="0.25"/>
    <row r="216" spans="4:14" x14ac:dyDescent="0.25"/>
    <row r="217" spans="4:14" x14ac:dyDescent="0.25"/>
    <row r="218" spans="4:14" x14ac:dyDescent="0.25"/>
    <row r="219" spans="4:14" x14ac:dyDescent="0.25"/>
    <row r="220" spans="4:14" x14ac:dyDescent="0.25"/>
    <row r="221" spans="4:14" x14ac:dyDescent="0.25"/>
    <row r="222" spans="4:14" x14ac:dyDescent="0.25"/>
    <row r="223" spans="4:14" x14ac:dyDescent="0.25"/>
    <row r="224" spans="4:14" x14ac:dyDescent="0.25"/>
    <row r="225" spans="4:14" x14ac:dyDescent="0.25"/>
    <row r="226" spans="4:14" x14ac:dyDescent="0.25"/>
    <row r="227" spans="4:14" x14ac:dyDescent="0.25"/>
    <row r="228" spans="4:14" x14ac:dyDescent="0.25"/>
    <row r="229" spans="4:14" x14ac:dyDescent="0.25"/>
    <row r="230" spans="4:14" x14ac:dyDescent="0.25"/>
    <row r="231" spans="4:14" x14ac:dyDescent="0.25"/>
    <row r="232" spans="4:14" x14ac:dyDescent="0.25"/>
    <row r="233" spans="4:14" x14ac:dyDescent="0.25"/>
    <row r="234" spans="4:14" x14ac:dyDescent="0.25"/>
    <row r="235" spans="4:14" x14ac:dyDescent="0.25"/>
    <row r="236" spans="4:14" x14ac:dyDescent="0.25"/>
    <row r="237" spans="4:14" x14ac:dyDescent="0.25"/>
    <row r="238" spans="4:14" x14ac:dyDescent="0.25"/>
    <row r="239" spans="4:14" x14ac:dyDescent="0.25"/>
    <row r="240" spans="4:14" x14ac:dyDescent="0.25"/>
    <row r="241" spans="4:14" x14ac:dyDescent="0.25"/>
    <row r="242" spans="4:14" x14ac:dyDescent="0.25"/>
    <row r="243" spans="4:14" x14ac:dyDescent="0.25"/>
    <row r="244" spans="4:14" x14ac:dyDescent="0.25"/>
    <row r="245" spans="4:14" x14ac:dyDescent="0.25"/>
    <row r="246" spans="4:14" x14ac:dyDescent="0.25"/>
    <row r="247" spans="4:14" x14ac:dyDescent="0.25"/>
    <row r="248" spans="4:14" x14ac:dyDescent="0.25"/>
    <row r="249" spans="4:14" x14ac:dyDescent="0.25"/>
    <row r="250" spans="4:14" x14ac:dyDescent="0.25"/>
    <row r="251" spans="4:14" x14ac:dyDescent="0.25"/>
    <row r="252" spans="4:14" x14ac:dyDescent="0.25"/>
    <row r="253" spans="4:14" x14ac:dyDescent="0.25"/>
    <row r="254" spans="4:14" x14ac:dyDescent="0.25"/>
    <row r="255" spans="4:14" x14ac:dyDescent="0.25"/>
    <row r="256" spans="4:14" x14ac:dyDescent="0.25"/>
    <row r="257" spans="4:14" x14ac:dyDescent="0.25"/>
    <row r="258" spans="4:14" x14ac:dyDescent="0.25"/>
    <row r="259" spans="4:14" x14ac:dyDescent="0.25"/>
    <row r="260" spans="4:14" x14ac:dyDescent="0.25"/>
    <row r="261" spans="4:14" x14ac:dyDescent="0.25"/>
    <row r="262" spans="4:14" x14ac:dyDescent="0.25"/>
    <row r="263" spans="4:14" x14ac:dyDescent="0.25"/>
    <row r="264" spans="4:14" x14ac:dyDescent="0.25"/>
    <row r="265" spans="4:14" x14ac:dyDescent="0.25"/>
    <row r="266" spans="4:14" x14ac:dyDescent="0.25"/>
    <row r="267" spans="4:14" x14ac:dyDescent="0.25"/>
    <row r="268" spans="4:14" x14ac:dyDescent="0.25"/>
    <row r="269" spans="4:14" x14ac:dyDescent="0.25"/>
    <row r="270" spans="4:14" x14ac:dyDescent="0.25"/>
    <row r="271" spans="4:14" x14ac:dyDescent="0.25"/>
    <row r="272" spans="4:14" x14ac:dyDescent="0.25"/>
    <row r="273" spans="4:14" x14ac:dyDescent="0.25"/>
    <row r="274" spans="4:14" x14ac:dyDescent="0.25"/>
    <row r="275" spans="4:14" x14ac:dyDescent="0.25"/>
    <row r="276" spans="4:14" x14ac:dyDescent="0.25"/>
    <row r="277" spans="4:14" x14ac:dyDescent="0.25"/>
    <row r="278" spans="4:14" x14ac:dyDescent="0.25"/>
    <row r="279" spans="4:14" x14ac:dyDescent="0.25"/>
    <row r="280" spans="4:14" x14ac:dyDescent="0.25"/>
    <row r="281" spans="4:14" x14ac:dyDescent="0.25"/>
    <row r="282" spans="4:14" x14ac:dyDescent="0.25"/>
    <row r="283" spans="4:14" x14ac:dyDescent="0.25"/>
    <row r="284" spans="4:14" x14ac:dyDescent="0.25"/>
    <row r="285" spans="4:14" x14ac:dyDescent="0.25"/>
    <row r="286" spans="4:14" x14ac:dyDescent="0.25"/>
    <row r="287" spans="4:14" x14ac:dyDescent="0.25"/>
    <row r="288" spans="4:14" x14ac:dyDescent="0.25"/>
    <row r="289" spans="4:14" x14ac:dyDescent="0.25"/>
    <row r="290" spans="4:14" x14ac:dyDescent="0.25"/>
    <row r="291" spans="4:14" x14ac:dyDescent="0.25"/>
    <row r="292" spans="4:14" x14ac:dyDescent="0.25"/>
    <row r="293" spans="4:14" x14ac:dyDescent="0.25"/>
    <row r="294" spans="4:14" x14ac:dyDescent="0.25"/>
    <row r="295" spans="4:14" x14ac:dyDescent="0.25"/>
    <row r="296" spans="4:14" x14ac:dyDescent="0.25"/>
    <row r="297" spans="4:14" x14ac:dyDescent="0.25"/>
    <row r="298" spans="4:14" x14ac:dyDescent="0.25"/>
    <row r="299" spans="4:14" x14ac:dyDescent="0.25"/>
    <row r="300" spans="4:14" x14ac:dyDescent="0.25"/>
  </sheetData>
  <autoFilter ref="A1:N46"/>
  <conditionalFormatting sqref="G2:G300">
    <cfRule type="cellIs" dxfId="6" priority="1" operator="equal">
      <formula>"Đang làm"</formula>
    </cfRule>
    <cfRule type="cellIs" dxfId="7" priority="2" operator="equal">
      <formula>"Chờ review"</formula>
    </cfRule>
    <cfRule type="cellIs" dxfId="8" priority="3" operator="equal">
      <formula>"Bị chặn"</formula>
    </cfRule>
    <cfRule type="cellIs" dxfId="9" priority="4" operator="equal">
      <formula>"Xong"</formula>
    </cfRule>
  </conditionalFormatting>
  <conditionalFormatting sqref="H2:H300">
    <cfRule type="dataBar" priority="10">
      <dataBar>
        <cfvo type="num" val="0"/>
        <cfvo type="num" val="1"/>
        <color rgb="FF7EA6E0"/>
      </dataBar>
      <extLst>
        <ext xmlns:x14="http://schemas.microsoft.com/office/spreadsheetml/2009/9/main" uri="{B025F937-C7B1-47D3-B67F-A62EFF666E3E}">
          <x14:id>{212B76CC-483B-4320-B4D7-143F7F0B24A2}</x14:id>
        </ext>
      </extLst>
    </cfRule>
  </conditionalFormatting>
  <conditionalFormatting sqref="I2:I300">
    <cfRule type="expression" dxfId="10" priority="11">
      <formula>AND(I2&lt;&gt;"",I2&lt;TODAY(),$G2&lt;&gt;"Xong")</formula>
    </cfRule>
  </conditionalFormatting>
  <dataValidations count="12">
    <dataValidation type="list" allowBlank="1" sqref="D10:D300">
      <formula1>"Huy,Dương,Hoàn,Giáp"</formula1>
    </dataValidation>
    <dataValidation type="list" allowBlank="1" sqref="D2:D300">
      <formula1>"Huy,Dương,Hoàn,Giáp"</formula1>
    </dataValidation>
    <dataValidation type="list" allowBlank="1" sqref="F10:F300">
      <formula1>"M,S,Sau"</formula1>
    </dataValidation>
    <dataValidation type="list" allowBlank="1" sqref="F2:F300">
      <formula1>"M,S,Sau"</formula1>
    </dataValidation>
    <dataValidation type="list" allowBlank="1" showErrorMessage="1" errorTitle="Trạng thái" error="Chọn một trong: Chưa làm, Đang làm, Chờ review, Bị chặn, Xong" sqref="G10:G300">
      <formula1>"Chưa làm,Đang làm,Chờ review,Bị chặn,Xong"</formula1>
    </dataValidation>
    <dataValidation type="list" allowBlank="1" showErrorMessage="1" errorTitle="Trạng thái" error="Chọn một trong: Chưa làm, Đang làm, Chờ review, Bị chặn, Xong" sqref="G2:G300">
      <formula1>"Chưa làm,Đang làm,Chờ review,Bị chặn,Xong"</formula1>
    </dataValidation>
    <dataValidation type="decimal" allowBlank="1" showErrorMessage="1" error="Nhập từ 0% đến 100%" sqref="H10:H300">
      <formula1>0</formula1>
      <formula2>1</formula2>
    </dataValidation>
    <dataValidation type="decimal" allowBlank="1" showErrorMessage="1" error="Nhập từ 0% đến 100%" sqref="H2:H300">
      <formula1>0</formula1>
      <formula2>1</formula2>
    </dataValidation>
    <dataValidation type="date" operator="greaterThan" allowBlank="1" sqref="I10:I300">
      <formula1>46022.70833333333</formula1>
    </dataValidation>
    <dataValidation type="date" operator="greaterThan" allowBlank="1" sqref="I2:I300">
      <formula1>46022.70833333333</formula1>
    </dataValidation>
    <dataValidation type="date" operator="greaterThan" allowBlank="1" sqref="N10:N300">
      <formula1>46022.70833333333</formula1>
    </dataValidation>
    <dataValidation type="date" operator="greaterThan" allowBlank="1" sqref="N2:N300">
      <formula1>46022.70833333333</formula1>
    </dataValidation>
  </dataValidations>
  <pageMargins left="0.7" right="0.7" top="0.75" bottom="0.75" header="0.3" footer="0.3"/>
  <pageSetup orientation="portrait" horizontalDpi="4294967295" verticalDpi="4294967295" scale="100" fitToWidth="1" fitToHeight="1"/>
  <extLst>
    <ext xmlns:x14="http://schemas.microsoft.com/office/spreadsheetml/2009/9/main" uri="{78C0D931-6437-407d-A8EE-F0AAD7539E65}">
      <x14:conditionalFormattings>
        <x14:conditionalFormatting xmlns:xm="http://schemas.microsoft.com/office/excel/2006/main">
          <x14:cfRule type="dataBar" id="{212B76CC-483B-4320-B4D7-143F7F0B24A2}">
            <x14:dataBar minLength="0" maxLength="100">
              <x14:cfvo type="num">
                <xm:f>0</xm:f>
              </x14:cfvo>
              <x14:cfvo type="num">
                <xm:f>1</xm:f>
              </x14:cfvo>
            </x14:dataBar>
          </x14:cfRule>
          <xm:sqref>H2:H300</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A16207"/>
  </sheetPr>
  <dimension ref="A1:I11"/>
  <sheetFormatPr defaultRowHeight="15" outlineLevelRow="0" outlineLevelCol="0" x14ac:dyDescent="55"/>
  <cols>
    <col min="1" max="1" width="16" customWidth="1"/>
    <col min="2" max="6" width="12" customWidth="1"/>
    <col min="7" max="7" width="10" customWidth="1"/>
    <col min="8" max="8" width="13" customWidth="1"/>
    <col min="9" max="9" width="14" customWidth="1"/>
  </cols>
  <sheetData>
    <row r="1" spans="1:1" s="1" customFormat="1" x14ac:dyDescent="0.25">
      <c r="A1" s="1" t="s">
        <v>344</v>
      </c>
    </row>
    <row r="2" spans="1:1" s="27" customFormat="1" x14ac:dyDescent="0.25">
      <c r="A2" s="27" t="s">
        <v>345</v>
      </c>
    </row>
    <row r="4" spans="1:9" x14ac:dyDescent="0.25">
      <c r="A4" s="16" t="s">
        <v>346</v>
      </c>
      <c r="B4" s="16" t="s">
        <v>11</v>
      </c>
      <c r="C4" s="16" t="s">
        <v>13</v>
      </c>
      <c r="D4" s="16" t="s">
        <v>15</v>
      </c>
      <c r="E4" s="16" t="s">
        <v>17</v>
      </c>
      <c r="F4" s="16" t="s">
        <v>19</v>
      </c>
      <c r="G4" s="16" t="s">
        <v>347</v>
      </c>
      <c r="H4" s="16" t="s">
        <v>348</v>
      </c>
      <c r="I4" s="16" t="s">
        <v>349</v>
      </c>
    </row>
    <row r="5" spans="1:9" x14ac:dyDescent="0.25">
      <c r="A5" s="28" t="s">
        <v>78</v>
      </c>
      <c r="B5" s="29">
        <f>COUNTIFS(Backlog!$D$2:$D$300,$A5,Backlog!$G$2:$G$300,"Chưa làm",Backlog!$F$2:$F$300,"&lt;&gt;Sau")</f>
      </c>
      <c r="C5" s="29">
        <f>COUNTIFS(Backlog!$D$2:$D$300,$A5,Backlog!$G$2:$G$300,"Đang làm",Backlog!$F$2:$F$300,"&lt;&gt;Sau")</f>
      </c>
      <c r="D5" s="29">
        <f>COUNTIFS(Backlog!$D$2:$D$300,$A5,Backlog!$G$2:$G$300,"Chờ review",Backlog!$F$2:$F$300,"&lt;&gt;Sau")</f>
      </c>
      <c r="E5" s="29">
        <f>COUNTIFS(Backlog!$D$2:$D$300,$A5,Backlog!$G$2:$G$300,"Bị chặn",Backlog!$F$2:$F$300,"&lt;&gt;Sau")</f>
      </c>
      <c r="F5" s="29">
        <f>COUNTIFS(Backlog!$D$2:$D$300,$A5,Backlog!$G$2:$G$300,"Xong",Backlog!$F$2:$F$300,"&lt;&gt;Sau")</f>
      </c>
      <c r="G5" s="29">
        <f>SUM(B5:F5)</f>
      </c>
      <c r="H5" s="30">
        <f>IF(G5=0,0,F5/G5)</f>
      </c>
      <c r="I5" s="29">
        <f>COUNTIFS(Backlog!$D$2:$D$300,$A5,Backlog!$I$2:$I$300,"&lt;"&amp;TODAY(),Backlog!$I$2:$I$300,"&lt;&gt;",Backlog!$G$2:$G$300,"&lt;&gt;Xong")</f>
      </c>
    </row>
    <row r="6" spans="1:9" x14ac:dyDescent="0.25">
      <c r="A6" s="28" t="s">
        <v>63</v>
      </c>
      <c r="B6" s="29">
        <f>COUNTIFS(Backlog!$D$2:$D$300,$A6,Backlog!$G$2:$G$300,"Chưa làm",Backlog!$F$2:$F$300,"&lt;&gt;Sau")</f>
      </c>
      <c r="C6" s="29">
        <f>COUNTIFS(Backlog!$D$2:$D$300,$A6,Backlog!$G$2:$G$300,"Đang làm",Backlog!$F$2:$F$300,"&lt;&gt;Sau")</f>
      </c>
      <c r="D6" s="29">
        <f>COUNTIFS(Backlog!$D$2:$D$300,$A6,Backlog!$G$2:$G$300,"Chờ review",Backlog!$F$2:$F$300,"&lt;&gt;Sau")</f>
      </c>
      <c r="E6" s="29">
        <f>COUNTIFS(Backlog!$D$2:$D$300,$A6,Backlog!$G$2:$G$300,"Bị chặn",Backlog!$F$2:$F$300,"&lt;&gt;Sau")</f>
      </c>
      <c r="F6" s="29">
        <f>COUNTIFS(Backlog!$D$2:$D$300,$A6,Backlog!$G$2:$G$300,"Xong",Backlog!$F$2:$F$300,"&lt;&gt;Sau")</f>
      </c>
      <c r="G6" s="29">
        <f>SUM(B6:F6)</f>
      </c>
      <c r="H6" s="30">
        <f>IF(G6=0,0,F6/G6)</f>
      </c>
      <c r="I6" s="29">
        <f>COUNTIFS(Backlog!$D$2:$D$300,$A6,Backlog!$I$2:$I$300,"&lt;"&amp;TODAY(),Backlog!$I$2:$I$300,"&lt;&gt;",Backlog!$G$2:$G$300,"&lt;&gt;Xong")</f>
      </c>
    </row>
    <row r="7" spans="1:9" x14ac:dyDescent="0.25">
      <c r="A7" s="28" t="s">
        <v>53</v>
      </c>
      <c r="B7" s="29">
        <f>COUNTIFS(Backlog!$D$2:$D$300,$A7,Backlog!$G$2:$G$300,"Chưa làm",Backlog!$F$2:$F$300,"&lt;&gt;Sau")</f>
      </c>
      <c r="C7" s="29">
        <f>COUNTIFS(Backlog!$D$2:$D$300,$A7,Backlog!$G$2:$G$300,"Đang làm",Backlog!$F$2:$F$300,"&lt;&gt;Sau")</f>
      </c>
      <c r="D7" s="29">
        <f>COUNTIFS(Backlog!$D$2:$D$300,$A7,Backlog!$G$2:$G$300,"Chờ review",Backlog!$F$2:$F$300,"&lt;&gt;Sau")</f>
      </c>
      <c r="E7" s="29">
        <f>COUNTIFS(Backlog!$D$2:$D$300,$A7,Backlog!$G$2:$G$300,"Bị chặn",Backlog!$F$2:$F$300,"&lt;&gt;Sau")</f>
      </c>
      <c r="F7" s="29">
        <f>COUNTIFS(Backlog!$D$2:$D$300,$A7,Backlog!$G$2:$G$300,"Xong",Backlog!$F$2:$F$300,"&lt;&gt;Sau")</f>
      </c>
      <c r="G7" s="29">
        <f>SUM(B7:F7)</f>
      </c>
      <c r="H7" s="30">
        <f>IF(G7=0,0,F7/G7)</f>
      </c>
      <c r="I7" s="29">
        <f>COUNTIFS(Backlog!$D$2:$D$300,$A7,Backlog!$I$2:$I$300,"&lt;"&amp;TODAY(),Backlog!$I$2:$I$300,"&lt;&gt;",Backlog!$G$2:$G$300,"&lt;&gt;Xong")</f>
      </c>
    </row>
    <row r="8" spans="1:9" x14ac:dyDescent="0.25">
      <c r="A8" s="28" t="s">
        <v>96</v>
      </c>
      <c r="B8" s="29">
        <f>COUNTIFS(Backlog!$D$2:$D$300,$A8,Backlog!$G$2:$G$300,"Chưa làm",Backlog!$F$2:$F$300,"&lt;&gt;Sau")</f>
      </c>
      <c r="C8" s="29">
        <f>COUNTIFS(Backlog!$D$2:$D$300,$A8,Backlog!$G$2:$G$300,"Đang làm",Backlog!$F$2:$F$300,"&lt;&gt;Sau")</f>
      </c>
      <c r="D8" s="29">
        <f>COUNTIFS(Backlog!$D$2:$D$300,$A8,Backlog!$G$2:$G$300,"Chờ review",Backlog!$F$2:$F$300,"&lt;&gt;Sau")</f>
      </c>
      <c r="E8" s="29">
        <f>COUNTIFS(Backlog!$D$2:$D$300,$A8,Backlog!$G$2:$G$300,"Bị chặn",Backlog!$F$2:$F$300,"&lt;&gt;Sau")</f>
      </c>
      <c r="F8" s="29">
        <f>COUNTIFS(Backlog!$D$2:$D$300,$A8,Backlog!$G$2:$G$300,"Xong",Backlog!$F$2:$F$300,"&lt;&gt;Sau")</f>
      </c>
      <c r="G8" s="29">
        <f>SUM(B8:F8)</f>
      </c>
      <c r="H8" s="30">
        <f>IF(G8=0,0,F8/G8)</f>
      </c>
      <c r="I8" s="29">
        <f>COUNTIFS(Backlog!$D$2:$D$300,$A8,Backlog!$I$2:$I$300,"&lt;"&amp;TODAY(),Backlog!$I$2:$I$300,"&lt;&gt;",Backlog!$G$2:$G$300,"&lt;&gt;Xong")</f>
      </c>
    </row>
    <row r="9" spans="1:9" x14ac:dyDescent="0.25">
      <c r="A9" s="31" t="s">
        <v>224</v>
      </c>
      <c r="B9" s="32">
        <f>SUM(B5:B8)</f>
      </c>
      <c r="C9" s="32">
        <f>SUM(C5:C8)</f>
      </c>
      <c r="D9" s="32">
        <f>SUM(D5:D8)</f>
      </c>
      <c r="E9" s="32">
        <f>SUM(E5:E8)</f>
      </c>
      <c r="F9" s="32">
        <f>SUM(F5:F8)</f>
      </c>
      <c r="G9" s="32">
        <f>SUM(B9:F9)</f>
      </c>
      <c r="H9" s="33">
        <f>IF(G9=0,0,F9/G9)</f>
      </c>
      <c r="I9" s="32">
        <f>SUM(I5:I8)</f>
      </c>
    </row>
    <row r="11" spans="1:1" s="27" customFormat="1" x14ac:dyDescent="0.25">
      <c r="A11" s="27" t="s">
        <v>350</v>
      </c>
    </row>
  </sheetData>
  <conditionalFormatting sqref="E5:E9">
    <cfRule type="cellIs" dxfId="11" priority="1" operator="greaterThan">
      <formula>0</formula>
    </cfRule>
  </conditionalFormatting>
  <conditionalFormatting sqref="I5:I9">
    <cfRule type="cellIs" dxfId="12" priority="2" operator="greaterThan">
      <formula>0</formula>
    </cfRule>
  </conditionalFormatting>
  <conditionalFormatting sqref="H5:H9">
    <cfRule type="dataBar" priority="3">
      <dataBar>
        <cfvo type="num" val="0"/>
        <cfvo type="num" val="1"/>
        <color rgb="FF16794C"/>
      </dataBar>
      <extLst>
        <ext xmlns:x14="http://schemas.microsoft.com/office/spreadsheetml/2009/9/main" uri="{B025F937-C7B1-47D3-B67F-A62EFF666E3E}">
          <x14:id>{33D6AB07-8852-4599-9422-195D04605FC8}</x14:id>
        </ext>
      </extLst>
    </cfRule>
  </conditionalFormatting>
  <pageMargins left="0.7" right="0.7" top="0.75" bottom="0.75" header="0.3" footer="0.3"/>
  <pageSetup orientation="portrait" horizontalDpi="4294967295" verticalDpi="4294967295" scale="100" fitToWidth="1" fitToHeight="1"/>
  <extLst>
    <ext xmlns:x14="http://schemas.microsoft.com/office/spreadsheetml/2009/9/main" uri="{78C0D931-6437-407d-A8EE-F0AAD7539E65}">
      <x14:conditionalFormattings>
        <x14:conditionalFormatting xmlns:xm="http://schemas.microsoft.com/office/excel/2006/main">
          <x14:cfRule type="dataBar" id="{33D6AB07-8852-4599-9422-195D04605FC8}">
            <x14:dataBar minLength="0" maxLength="100">
              <x14:cfvo type="num">
                <xm:f>0</xm:f>
              </x14:cfvo>
              <x14:cfvo type="num">
                <xm:f>1</xm:f>
              </x14:cfvo>
            </x14:dataBar>
          </x14:cfRule>
          <xm:sqref>H5:H9</xm:sqref>
        </x14:conditionalFormatting>
      </x14:conditionalFormatting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A8699"/>
  </sheetPr>
  <dimension ref="A1:F2"/>
  <sheetViews>
    <sheetView workbookViewId="0">
      <pane ySplit="1" topLeftCell="A2" activePane="bottomLeft" state="frozen"/>
      <selection pane="bottomLeft"/>
    </sheetView>
  </sheetViews>
  <sheetFormatPr defaultRowHeight="15" outlineLevelRow="0" outlineLevelCol="0" x14ac:dyDescent="55"/>
  <cols>
    <col min="1" max="1" width="8" customWidth="1"/>
    <col min="2" max="2" width="12" customWidth="1"/>
    <col min="3" max="4" width="40" customWidth="1"/>
    <col min="5" max="6" width="36" customWidth="1"/>
  </cols>
  <sheetData>
    <row r="1" spans="1:6" x14ac:dyDescent="0.25">
      <c r="A1" s="16" t="s">
        <v>194</v>
      </c>
      <c r="B1" s="16" t="s">
        <v>351</v>
      </c>
      <c r="C1" s="16" t="s">
        <v>352</v>
      </c>
      <c r="D1" s="16" t="s">
        <v>353</v>
      </c>
      <c r="E1" s="16" t="s">
        <v>354</v>
      </c>
      <c r="F1" s="16" t="s">
        <v>355</v>
      </c>
    </row>
    <row r="2" spans="1:6" x14ac:dyDescent="0.25">
      <c r="A2" s="34" t="s">
        <v>206</v>
      </c>
      <c r="B2" s="35">
        <v>46291.70833333333</v>
      </c>
      <c r="C2" s="36" t="s">
        <v>356</v>
      </c>
      <c r="D2" s="36" t="s">
        <v>357</v>
      </c>
      <c r="E2" s="36" t="s">
        <v>358</v>
      </c>
      <c r="F2" s="36" t="s">
        <v>359</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Hướng dẫn</vt:lpstr>
      <vt:lpstr>Tuần 1</vt:lpstr>
      <vt:lpstr>Backlog</vt:lpstr>
      <vt:lpstr>Tổng quan</vt:lpstr>
      <vt:lpstr>Họp tuần</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Fantastic4</dc:creator>
  <dc:title/>
  <dc:subject/>
  <dc:description/>
  <cp:keywords/>
  <cp:category/>
  <cp:lastModifiedBy>Unknown</cp:lastModifiedBy>
  <dcterms:created xsi:type="dcterms:W3CDTF">2026-09-30T08:04:21Z</dcterms:created>
  <dcterms:modified xsi:type="dcterms:W3CDTF">2026-09-30T08:04:21Z</dcterms:modified>
</cp:coreProperties>
</file>